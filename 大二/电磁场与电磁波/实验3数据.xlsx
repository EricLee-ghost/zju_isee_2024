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52" windowHeight="9555" activeTab="1"/>
  </bookViews>
  <sheets>
    <sheet name="距离" sheetId="1" r:id="rId1"/>
    <sheet name="极化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<sst xmlns="http://schemas.openxmlformats.org/spreadsheetml/2006/main" count="13" uniqueCount="11">
  <si>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7.50GHz(线性值)</t>
  </si>
  <si>
    <t>线性值</t>
  </si>
  <si>
    <t>1/R</t>
  </si>
  <si>
    <t>1/R^2</t>
  </si>
  <si>
    <t>1/R^3</t>
  </si>
  <si>
    <t>功率</t>
  </si>
  <si>
    <t>归一化1/R</t>
  </si>
  <si>
    <t>归一化1/R^2</t>
  </si>
  <si>
    <t>归一化1/R^3</t>
  </si>
  <si>
    <t>cosθ</t>
  </si>
  <si>
    <t>cos^2θ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</si>
</sst>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距离!$B$1</c:f>
              <c:strCache>
                <c:ptCount val="1"/>
                <c:pt idx="0">
                  <c:v>线性值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距离!$A$2:$A$16</c:f>
            </c:numRef>
          </c:xVal>
          <c:yVal>
            <c:numRef>
              <c:f>距离!$B$2:$B$16</c:f>
            </c:numRef>
          </c:yVal>
          <c:smooth val="0"/>
        </c:ser>
        <c:ser>
          <c:idx val="1"/>
          <c:order val="1"/>
          <c:tx>
            <c:strRef>
              <c:f>距离!$C$1</c:f>
              <c:strCache>
                <c:ptCount val="1"/>
                <c:pt idx="0">
                  <c:v>1/R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距离!$A$2:$A$16</c:f>
            </c:numRef>
          </c:xVal>
          <c:yVal>
            <c:numRef>
              <c:f>距离!$C$2:$C$16</c:f>
            </c:numRef>
          </c:yVal>
          <c:smooth val="0"/>
        </c:ser>
        <c:ser>
          <c:idx val="2"/>
          <c:order val="2"/>
          <c:tx>
            <c:strRef>
              <c:f>距离!$D$1</c:f>
              <c:strCache>
                <c:ptCount val="1"/>
                <c:pt idx="0">
                  <c:v>1/R^2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距离!$A$2:$A$16</c:f>
            </c:numRef>
          </c:xVal>
          <c:yVal>
            <c:numRef>
              <c:f>距离!$D$2:$D$16</c:f>
            </c:numRef>
          </c:yVal>
          <c:smooth val="0"/>
        </c:ser>
        <c:ser>
          <c:idx val="3"/>
          <c:order val="3"/>
          <c:tx>
            <c:strRef>
              <c:f>距离!$E$1</c:f>
              <c:strCache>
                <c:ptCount val="1"/>
                <c:pt idx="0">
                  <c:v>1/R^3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距离!$A$2:$A$16</c:f>
            </c:numRef>
          </c:xVal>
          <c:yVal>
            <c:numRef>
              <c:f>距离!$E$2:$E$16</c:f>
            </c:numRef>
          </c:yVal>
          <c:smooth val="0"/>
        </c:ser>
        <c:ser>
          <c:idx val="4"/>
          <c:order val="4"/>
          <c:tx>
            <c:strRef>
              <c:f>距离!$F$1</c:f>
              <c:strCache>
                <c:ptCount val="1"/>
                <c:pt idx="0">
                  <c:v>功率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xVal>
            <c:numRef>
              <c:f>距离!$A$2:$A$16</c:f>
              <c:numCache>
                <c:formatCode>General</c:formatCode>
                <c:ptCount val="15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</c:v>
                </c:pt>
                <c:pt idx="11">
                  <c:v>1.15</c:v>
                </c:pt>
                <c:pt idx="12">
                  <c:v>1.2</c:v>
                </c:pt>
                <c:pt idx="13">
                  <c:v>1.25</c:v>
                </c:pt>
                <c:pt idx="14">
                  <c:v>1.3</c:v>
                </c:pt>
              </c:numCache>
            </c:numRef>
          </c:xVal>
          <c:yVal>
            <c:numRef>
              <c:f>距离!$F$2:$F$16</c:f>
              <c:numCache>
                <c:formatCode>General</c:formatCode>
                <c:ptCount val="15"/>
                <c:pt idx="0">
                  <c:v>1</c:v>
                </c:pt>
                <c:pt idx="1">
                  <c:v>0.900601</c:v>
                </c:pt>
                <c:pt idx="2">
                  <c:v>0.777924</c:v>
                </c:pt>
                <c:pt idx="3">
                  <c:v>0.687241</c:v>
                </c:pt>
                <c:pt idx="4">
                  <c:v>0.605284</c:v>
                </c:pt>
                <c:pt idx="5">
                  <c:v>0.550564</c:v>
                </c:pt>
                <c:pt idx="6">
                  <c:v>0.485809</c:v>
                </c:pt>
                <c:pt idx="7">
                  <c:v>0.446224</c:v>
                </c:pt>
                <c:pt idx="8">
                  <c:v>0.398161</c:v>
                </c:pt>
                <c:pt idx="9">
                  <c:v>0.374544</c:v>
                </c:pt>
                <c:pt idx="10">
                  <c:v>0.334084</c:v>
                </c:pt>
                <c:pt idx="11">
                  <c:v>0.318096</c:v>
                </c:pt>
                <c:pt idx="12">
                  <c:v>0.274576</c:v>
                </c:pt>
                <c:pt idx="13">
                  <c:v>0.268324</c:v>
                </c:pt>
                <c:pt idx="14">
                  <c:v>0.248004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距离!$G$1</c:f>
              <c:strCache>
                <c:ptCount val="1"/>
                <c:pt idx="0">
                  <c:v>归一化1/R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距离!$A$2:$A$16</c:f>
              <c:numCache>
                <c:formatCode>General</c:formatCode>
                <c:ptCount val="15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</c:v>
                </c:pt>
                <c:pt idx="11">
                  <c:v>1.15</c:v>
                </c:pt>
                <c:pt idx="12">
                  <c:v>1.2</c:v>
                </c:pt>
                <c:pt idx="13">
                  <c:v>1.25</c:v>
                </c:pt>
                <c:pt idx="14">
                  <c:v>1.3</c:v>
                </c:pt>
              </c:numCache>
            </c:numRef>
          </c:xVal>
          <c:yVal>
            <c:numRef>
              <c:f>距离!$G$2:$G$16</c:f>
              <c:numCache>
                <c:formatCode>General</c:formatCode>
                <c:ptCount val="15"/>
                <c:pt idx="0">
                  <c:v>1</c:v>
                </c:pt>
                <c:pt idx="1">
                  <c:v>0.923076923076922</c:v>
                </c:pt>
                <c:pt idx="2">
                  <c:v>0.857142857142856</c:v>
                </c:pt>
                <c:pt idx="3">
                  <c:v>0.799999999999996</c:v>
                </c:pt>
                <c:pt idx="4">
                  <c:v>0.749999999999998</c:v>
                </c:pt>
                <c:pt idx="5">
                  <c:v>0.705882352941173</c:v>
                </c:pt>
                <c:pt idx="6">
                  <c:v>0.666666666666665</c:v>
                </c:pt>
                <c:pt idx="7">
                  <c:v>0.631578947368421</c:v>
                </c:pt>
                <c:pt idx="8">
                  <c:v>0.599999999999999</c:v>
                </c:pt>
                <c:pt idx="9">
                  <c:v>0.57142857142857</c:v>
                </c:pt>
                <c:pt idx="10">
                  <c:v>0.545454545454544</c:v>
                </c:pt>
                <c:pt idx="11">
                  <c:v>0.521739130434781</c:v>
                </c:pt>
                <c:pt idx="12">
                  <c:v>0.499999999999999</c:v>
                </c:pt>
                <c:pt idx="13">
                  <c:v>0.479999999999999</c:v>
                </c:pt>
                <c:pt idx="14">
                  <c:v>0.461538461538461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距离!$H$1</c:f>
              <c:strCache>
                <c:ptCount val="1"/>
                <c:pt idx="0">
                  <c:v>归一化1/R^2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距离!$A$2:$A$16</c:f>
              <c:numCache>
                <c:formatCode>General</c:formatCode>
                <c:ptCount val="15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</c:v>
                </c:pt>
                <c:pt idx="11">
                  <c:v>1.15</c:v>
                </c:pt>
                <c:pt idx="12">
                  <c:v>1.2</c:v>
                </c:pt>
                <c:pt idx="13">
                  <c:v>1.25</c:v>
                </c:pt>
                <c:pt idx="14">
                  <c:v>1.3</c:v>
                </c:pt>
              </c:numCache>
            </c:numRef>
          </c:xVal>
          <c:yVal>
            <c:numRef>
              <c:f>距离!$H$2:$H$16</c:f>
              <c:numCache>
                <c:formatCode>General</c:formatCode>
                <c:ptCount val="15"/>
                <c:pt idx="0">
                  <c:v>1</c:v>
                </c:pt>
                <c:pt idx="1">
                  <c:v>0.852071005917158</c:v>
                </c:pt>
                <c:pt idx="2">
                  <c:v>0.734693877551019</c:v>
                </c:pt>
                <c:pt idx="3">
                  <c:v>0.64</c:v>
                </c:pt>
                <c:pt idx="4">
                  <c:v>0.5625</c:v>
                </c:pt>
                <c:pt idx="5">
                  <c:v>0.498269896193772</c:v>
                </c:pt>
                <c:pt idx="6">
                  <c:v>0.444444444444445</c:v>
                </c:pt>
                <c:pt idx="7">
                  <c:v>0.398891966759003</c:v>
                </c:pt>
                <c:pt idx="8">
                  <c:v>0.36</c:v>
                </c:pt>
                <c:pt idx="9">
                  <c:v>0.326530612244898</c:v>
                </c:pt>
                <c:pt idx="10">
                  <c:v>0.297520661157024</c:v>
                </c:pt>
                <c:pt idx="11">
                  <c:v>0.272211720226843</c:v>
                </c:pt>
                <c:pt idx="12">
                  <c:v>0.25</c:v>
                </c:pt>
                <c:pt idx="13">
                  <c:v>0.2304</c:v>
                </c:pt>
                <c:pt idx="14">
                  <c:v>0.21301775147929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距离!$I$1</c:f>
              <c:strCache>
                <c:ptCount val="1"/>
                <c:pt idx="0">
                  <c:v>归一化1/R^3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elete val="1"/>
          </c:dLbls>
          <c:xVal>
            <c:numRef>
              <c:f>距离!$A$2:$A$16</c:f>
              <c:numCache>
                <c:formatCode>General</c:formatCode>
                <c:ptCount val="15"/>
                <c:pt idx="0">
                  <c:v>0.6</c:v>
                </c:pt>
                <c:pt idx="1">
                  <c:v>0.65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  <c:pt idx="8">
                  <c:v>1</c:v>
                </c:pt>
                <c:pt idx="9">
                  <c:v>1.05</c:v>
                </c:pt>
                <c:pt idx="10">
                  <c:v>1.1</c:v>
                </c:pt>
                <c:pt idx="11">
                  <c:v>1.15</c:v>
                </c:pt>
                <c:pt idx="12">
                  <c:v>1.2</c:v>
                </c:pt>
                <c:pt idx="13">
                  <c:v>1.25</c:v>
                </c:pt>
                <c:pt idx="14">
                  <c:v>1.3</c:v>
                </c:pt>
              </c:numCache>
            </c:numRef>
          </c:xVal>
          <c:yVal>
            <c:numRef>
              <c:f>距离!$I$2:$I$16</c:f>
              <c:numCache>
                <c:formatCode>General</c:formatCode>
                <c:ptCount val="15"/>
                <c:pt idx="0">
                  <c:v>1</c:v>
                </c:pt>
                <c:pt idx="1">
                  <c:v>0.786527082385071</c:v>
                </c:pt>
                <c:pt idx="2">
                  <c:v>0.629737609329446</c:v>
                </c:pt>
                <c:pt idx="3">
                  <c:v>0.512</c:v>
                </c:pt>
                <c:pt idx="4">
                  <c:v>0.421875</c:v>
                </c:pt>
                <c:pt idx="5">
                  <c:v>0.351719926725015</c:v>
                </c:pt>
                <c:pt idx="6">
                  <c:v>0.296296296296296</c:v>
                </c:pt>
                <c:pt idx="7">
                  <c:v>0.251931768479369</c:v>
                </c:pt>
                <c:pt idx="8">
                  <c:v>0.216</c:v>
                </c:pt>
                <c:pt idx="9">
                  <c:v>0.186588921282799</c:v>
                </c:pt>
                <c:pt idx="10">
                  <c:v>0.162283996994741</c:v>
                </c:pt>
                <c:pt idx="11">
                  <c:v>0.142023506205309</c:v>
                </c:pt>
                <c:pt idx="12">
                  <c:v>0.125</c:v>
                </c:pt>
                <c:pt idx="13">
                  <c:v>0.110592</c:v>
                </c:pt>
                <c:pt idx="14">
                  <c:v>0.0983158852981337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457275"/>
        <c:axId val="235287597"/>
      </c:scatterChart>
      <c:valAx>
        <c:axId val="665457275"/>
        <c:scaling>
          <c:orientation val="minMax"/>
          <c:min val="0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287597"/>
        <c:crosses val="autoZero"/>
        <c:crossBetween val="midCat"/>
      </c:valAx>
      <c:valAx>
        <c:axId val="2352875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45727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极化!$B$1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极化!$A$2:$A$92</c:f>
            </c:numRef>
          </c:xVal>
          <c:yVal>
            <c:numRef>
              <c:f>极化!$B$2:$B$92</c:f>
            </c:numRef>
          </c:yVal>
          <c:smooth val="1"/>
        </c:ser>
        <c:ser>
          <c:idx val="1"/>
          <c:order val="1"/>
          <c:tx>
            <c:strRef>
              <c:f>极化!$C$1</c:f>
              <c:strCache>
                <c:ptCount val="1"/>
                <c:pt idx="0">
                  <c:v>功率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极化!$A$2:$A$92</c:f>
              <c:numCache>
                <c:formatCode>General</c:formatCod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numCache>
            </c:numRef>
          </c:xVal>
          <c:yVal>
            <c:numRef>
              <c:f>极化!$C$2:$C$92</c:f>
              <c:numCache>
                <c:formatCode>General</c:formatCode>
                <c:ptCount val="9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0.9801</c:v>
                </c:pt>
                <c:pt idx="8">
                  <c:v>0.9801</c:v>
                </c:pt>
                <c:pt idx="9">
                  <c:v>0.9801</c:v>
                </c:pt>
                <c:pt idx="10">
                  <c:v>0.9801</c:v>
                </c:pt>
                <c:pt idx="11">
                  <c:v>0.9604</c:v>
                </c:pt>
                <c:pt idx="12">
                  <c:v>0.9604</c:v>
                </c:pt>
                <c:pt idx="13">
                  <c:v>0.9604</c:v>
                </c:pt>
                <c:pt idx="14">
                  <c:v>0.9409</c:v>
                </c:pt>
                <c:pt idx="15">
                  <c:v>0.9216</c:v>
                </c:pt>
                <c:pt idx="16">
                  <c:v>0.9216</c:v>
                </c:pt>
                <c:pt idx="17">
                  <c:v>0.9216</c:v>
                </c:pt>
                <c:pt idx="18">
                  <c:v>0.9025</c:v>
                </c:pt>
                <c:pt idx="19">
                  <c:v>0.9025</c:v>
                </c:pt>
                <c:pt idx="20">
                  <c:v>0.8836</c:v>
                </c:pt>
                <c:pt idx="21">
                  <c:v>0.8836</c:v>
                </c:pt>
                <c:pt idx="22">
                  <c:v>0.8649</c:v>
                </c:pt>
                <c:pt idx="23">
                  <c:v>0.8649</c:v>
                </c:pt>
                <c:pt idx="24">
                  <c:v>0.8464</c:v>
                </c:pt>
                <c:pt idx="25">
                  <c:v>0.8464</c:v>
                </c:pt>
                <c:pt idx="26">
                  <c:v>0.8281</c:v>
                </c:pt>
                <c:pt idx="27">
                  <c:v>0.81</c:v>
                </c:pt>
                <c:pt idx="28">
                  <c:v>0.7921</c:v>
                </c:pt>
                <c:pt idx="29">
                  <c:v>0.7921</c:v>
                </c:pt>
                <c:pt idx="30">
                  <c:v>0.7744</c:v>
                </c:pt>
                <c:pt idx="31">
                  <c:v>0.7569</c:v>
                </c:pt>
                <c:pt idx="32">
                  <c:v>0.7396</c:v>
                </c:pt>
                <c:pt idx="33">
                  <c:v>0.7225</c:v>
                </c:pt>
                <c:pt idx="34">
                  <c:v>0.7056</c:v>
                </c:pt>
                <c:pt idx="35">
                  <c:v>0.6889</c:v>
                </c:pt>
                <c:pt idx="36">
                  <c:v>0.6889</c:v>
                </c:pt>
                <c:pt idx="37">
                  <c:v>0.6724</c:v>
                </c:pt>
                <c:pt idx="38">
                  <c:v>0.64</c:v>
                </c:pt>
                <c:pt idx="39">
                  <c:v>0.64</c:v>
                </c:pt>
                <c:pt idx="40">
                  <c:v>0.6084</c:v>
                </c:pt>
                <c:pt idx="41">
                  <c:v>0.6084</c:v>
                </c:pt>
                <c:pt idx="42">
                  <c:v>0.5929</c:v>
                </c:pt>
                <c:pt idx="43">
                  <c:v>0.5776</c:v>
                </c:pt>
                <c:pt idx="44">
                  <c:v>0.5476</c:v>
                </c:pt>
                <c:pt idx="45">
                  <c:v>0.5184</c:v>
                </c:pt>
                <c:pt idx="46">
                  <c:v>0.5041</c:v>
                </c:pt>
                <c:pt idx="47">
                  <c:v>0.49</c:v>
                </c:pt>
                <c:pt idx="48">
                  <c:v>0.4761</c:v>
                </c:pt>
                <c:pt idx="49">
                  <c:v>0.4624</c:v>
                </c:pt>
                <c:pt idx="50">
                  <c:v>0.4489</c:v>
                </c:pt>
                <c:pt idx="51">
                  <c:v>0.4356</c:v>
                </c:pt>
                <c:pt idx="52">
                  <c:v>0.4225</c:v>
                </c:pt>
                <c:pt idx="53">
                  <c:v>0.3969</c:v>
                </c:pt>
                <c:pt idx="54">
                  <c:v>0.3844</c:v>
                </c:pt>
                <c:pt idx="55">
                  <c:v>0.36</c:v>
                </c:pt>
                <c:pt idx="56">
                  <c:v>0.3481</c:v>
                </c:pt>
                <c:pt idx="57">
                  <c:v>0.3364</c:v>
                </c:pt>
                <c:pt idx="58">
                  <c:v>0.3136</c:v>
                </c:pt>
                <c:pt idx="59">
                  <c:v>0.3025</c:v>
                </c:pt>
                <c:pt idx="60">
                  <c:v>0.2916</c:v>
                </c:pt>
                <c:pt idx="61">
                  <c:v>0.2704</c:v>
                </c:pt>
                <c:pt idx="62">
                  <c:v>0.2601</c:v>
                </c:pt>
                <c:pt idx="63">
                  <c:v>0.2401</c:v>
                </c:pt>
                <c:pt idx="64">
                  <c:v>0.2304</c:v>
                </c:pt>
                <c:pt idx="65">
                  <c:v>0.2116</c:v>
                </c:pt>
                <c:pt idx="66">
                  <c:v>0.2025</c:v>
                </c:pt>
                <c:pt idx="67">
                  <c:v>0.1849</c:v>
                </c:pt>
                <c:pt idx="68">
                  <c:v>0.1764</c:v>
                </c:pt>
                <c:pt idx="69">
                  <c:v>0.16</c:v>
                </c:pt>
                <c:pt idx="70">
                  <c:v>0.1521</c:v>
                </c:pt>
                <c:pt idx="71">
                  <c:v>0.1369</c:v>
                </c:pt>
                <c:pt idx="72">
                  <c:v>0.1296</c:v>
                </c:pt>
                <c:pt idx="73">
                  <c:v>0.1156</c:v>
                </c:pt>
                <c:pt idx="74">
                  <c:v>0.1089</c:v>
                </c:pt>
                <c:pt idx="75">
                  <c:v>0.0961</c:v>
                </c:pt>
                <c:pt idx="76">
                  <c:v>0.09</c:v>
                </c:pt>
                <c:pt idx="77">
                  <c:v>0.0841</c:v>
                </c:pt>
                <c:pt idx="78">
                  <c:v>0.0729</c:v>
                </c:pt>
                <c:pt idx="79">
                  <c:v>0.0625</c:v>
                </c:pt>
                <c:pt idx="80">
                  <c:v>0.0576</c:v>
                </c:pt>
                <c:pt idx="81">
                  <c:v>0.0529</c:v>
                </c:pt>
                <c:pt idx="82">
                  <c:v>0.0441</c:v>
                </c:pt>
                <c:pt idx="83">
                  <c:v>0.04</c:v>
                </c:pt>
                <c:pt idx="84">
                  <c:v>0.0324</c:v>
                </c:pt>
                <c:pt idx="85">
                  <c:v>0.0289</c:v>
                </c:pt>
                <c:pt idx="86">
                  <c:v>0.0256</c:v>
                </c:pt>
                <c:pt idx="87">
                  <c:v>0.0196</c:v>
                </c:pt>
                <c:pt idx="88">
                  <c:v>0.0169</c:v>
                </c:pt>
                <c:pt idx="89">
                  <c:v>0.0144</c:v>
                </c:pt>
                <c:pt idx="90">
                  <c:v>0.0121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极化!$D$1</c:f>
              <c:strCache>
                <c:ptCount val="1"/>
                <c:pt idx="0">
                  <c:v>cosθ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极化!$A$2:$A$92</c:f>
              <c:numCache>
                <c:formatCode>General</c:formatCod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numCache>
            </c:numRef>
          </c:xVal>
          <c:yVal>
            <c:numRef>
              <c:f>极化!$D$2:$D$92</c:f>
              <c:numCache>
                <c:formatCode>General</c:formatCode>
                <c:ptCount val="91"/>
                <c:pt idx="0">
                  <c:v>1</c:v>
                </c:pt>
                <c:pt idx="1">
                  <c:v>0.999847695156391</c:v>
                </c:pt>
                <c:pt idx="2">
                  <c:v>0.999390827019096</c:v>
                </c:pt>
                <c:pt idx="3">
                  <c:v>0.998629534754574</c:v>
                </c:pt>
                <c:pt idx="4">
                  <c:v>0.997564050259824</c:v>
                </c:pt>
                <c:pt idx="5">
                  <c:v>0.996194698091746</c:v>
                </c:pt>
                <c:pt idx="6">
                  <c:v>0.994521895368273</c:v>
                </c:pt>
                <c:pt idx="7">
                  <c:v>0.992546151641322</c:v>
                </c:pt>
                <c:pt idx="8">
                  <c:v>0.99026806874157</c:v>
                </c:pt>
                <c:pt idx="9">
                  <c:v>0.987688340595138</c:v>
                </c:pt>
                <c:pt idx="10">
                  <c:v>0.984807753012208</c:v>
                </c:pt>
                <c:pt idx="11">
                  <c:v>0.981627183447664</c:v>
                </c:pt>
                <c:pt idx="12">
                  <c:v>0.978147600733806</c:v>
                </c:pt>
                <c:pt idx="13">
                  <c:v>0.974370064785235</c:v>
                </c:pt>
                <c:pt idx="14">
                  <c:v>0.970295726275996</c:v>
                </c:pt>
                <c:pt idx="15">
                  <c:v>0.965925826289068</c:v>
                </c:pt>
                <c:pt idx="16">
                  <c:v>0.961261695938319</c:v>
                </c:pt>
                <c:pt idx="17">
                  <c:v>0.956304755963036</c:v>
                </c:pt>
                <c:pt idx="18">
                  <c:v>0.951056516295154</c:v>
                </c:pt>
                <c:pt idx="19">
                  <c:v>0.945518575599317</c:v>
                </c:pt>
                <c:pt idx="20">
                  <c:v>0.939692620785908</c:v>
                </c:pt>
                <c:pt idx="21">
                  <c:v>0.933580426497202</c:v>
                </c:pt>
                <c:pt idx="22">
                  <c:v>0.927183854566787</c:v>
                </c:pt>
                <c:pt idx="23">
                  <c:v>0.92050485345244</c:v>
                </c:pt>
                <c:pt idx="24">
                  <c:v>0.913545457642601</c:v>
                </c:pt>
                <c:pt idx="25">
                  <c:v>0.90630778703665</c:v>
                </c:pt>
                <c:pt idx="26">
                  <c:v>0.898794046299167</c:v>
                </c:pt>
                <c:pt idx="27">
                  <c:v>0.891006524188368</c:v>
                </c:pt>
                <c:pt idx="28">
                  <c:v>0.882947592858927</c:v>
                </c:pt>
                <c:pt idx="29">
                  <c:v>0.874619707139396</c:v>
                </c:pt>
                <c:pt idx="30">
                  <c:v>0.866025403784439</c:v>
                </c:pt>
                <c:pt idx="31">
                  <c:v>0.857167300702112</c:v>
                </c:pt>
                <c:pt idx="32">
                  <c:v>0.848048096156426</c:v>
                </c:pt>
                <c:pt idx="33">
                  <c:v>0.838670567945424</c:v>
                </c:pt>
                <c:pt idx="34">
                  <c:v>0.829037572555042</c:v>
                </c:pt>
                <c:pt idx="35">
                  <c:v>0.819152044288992</c:v>
                </c:pt>
                <c:pt idx="36">
                  <c:v>0.809016994374947</c:v>
                </c:pt>
                <c:pt idx="37">
                  <c:v>0.798635510047293</c:v>
                </c:pt>
                <c:pt idx="38">
                  <c:v>0.788010753606722</c:v>
                </c:pt>
                <c:pt idx="39">
                  <c:v>0.777145961456971</c:v>
                </c:pt>
                <c:pt idx="40">
                  <c:v>0.766044443118978</c:v>
                </c:pt>
                <c:pt idx="41">
                  <c:v>0.754709580222772</c:v>
                </c:pt>
                <c:pt idx="42">
                  <c:v>0.743144825477394</c:v>
                </c:pt>
                <c:pt idx="43">
                  <c:v>0.73135370161917</c:v>
                </c:pt>
                <c:pt idx="44">
                  <c:v>0.719339800338651</c:v>
                </c:pt>
                <c:pt idx="45">
                  <c:v>0.707106781186548</c:v>
                </c:pt>
                <c:pt idx="46">
                  <c:v>0.694658370458997</c:v>
                </c:pt>
                <c:pt idx="47">
                  <c:v>0.681998360062498</c:v>
                </c:pt>
                <c:pt idx="48">
                  <c:v>0.669130606358858</c:v>
                </c:pt>
                <c:pt idx="49">
                  <c:v>0.656059028990507</c:v>
                </c:pt>
                <c:pt idx="50">
                  <c:v>0.642787609686539</c:v>
                </c:pt>
                <c:pt idx="51">
                  <c:v>0.629320391049838</c:v>
                </c:pt>
                <c:pt idx="52">
                  <c:v>0.615661475325658</c:v>
                </c:pt>
                <c:pt idx="53">
                  <c:v>0.601815023152048</c:v>
                </c:pt>
                <c:pt idx="54">
                  <c:v>0.587785252292473</c:v>
                </c:pt>
                <c:pt idx="55">
                  <c:v>0.573576436351046</c:v>
                </c:pt>
                <c:pt idx="56">
                  <c:v>0.559192903470747</c:v>
                </c:pt>
                <c:pt idx="57">
                  <c:v>0.544639035015027</c:v>
                </c:pt>
                <c:pt idx="58">
                  <c:v>0.529919264233205</c:v>
                </c:pt>
                <c:pt idx="59">
                  <c:v>0.515038074910054</c:v>
                </c:pt>
                <c:pt idx="60">
                  <c:v>0.5</c:v>
                </c:pt>
                <c:pt idx="61">
                  <c:v>0.484809620246337</c:v>
                </c:pt>
                <c:pt idx="62">
                  <c:v>0.469471562785891</c:v>
                </c:pt>
                <c:pt idx="63">
                  <c:v>0.453990499739547</c:v>
                </c:pt>
                <c:pt idx="64">
                  <c:v>0.438371146789077</c:v>
                </c:pt>
                <c:pt idx="65">
                  <c:v>0.422618261740699</c:v>
                </c:pt>
                <c:pt idx="66">
                  <c:v>0.4067366430758</c:v>
                </c:pt>
                <c:pt idx="67">
                  <c:v>0.390731128489274</c:v>
                </c:pt>
                <c:pt idx="68">
                  <c:v>0.374606593415912</c:v>
                </c:pt>
                <c:pt idx="69">
                  <c:v>0.3583679495453</c:v>
                </c:pt>
                <c:pt idx="70">
                  <c:v>0.342020143325669</c:v>
                </c:pt>
                <c:pt idx="71">
                  <c:v>0.325568154457157</c:v>
                </c:pt>
                <c:pt idx="72">
                  <c:v>0.309016994374947</c:v>
                </c:pt>
                <c:pt idx="73">
                  <c:v>0.292371704722737</c:v>
                </c:pt>
                <c:pt idx="74">
                  <c:v>0.275637355816999</c:v>
                </c:pt>
                <c:pt idx="75">
                  <c:v>0.258819045102521</c:v>
                </c:pt>
                <c:pt idx="76">
                  <c:v>0.241921895599668</c:v>
                </c:pt>
                <c:pt idx="77">
                  <c:v>0.224951054343865</c:v>
                </c:pt>
                <c:pt idx="78">
                  <c:v>0.207911690817759</c:v>
                </c:pt>
                <c:pt idx="79">
                  <c:v>0.190808995376545</c:v>
                </c:pt>
                <c:pt idx="80">
                  <c:v>0.17364817766693</c:v>
                </c:pt>
                <c:pt idx="81">
                  <c:v>0.156434465040231</c:v>
                </c:pt>
                <c:pt idx="82">
                  <c:v>0.139173100960065</c:v>
                </c:pt>
                <c:pt idx="83">
                  <c:v>0.121869343405147</c:v>
                </c:pt>
                <c:pt idx="84">
                  <c:v>0.104528463267653</c:v>
                </c:pt>
                <c:pt idx="85">
                  <c:v>0.0871557427476584</c:v>
                </c:pt>
                <c:pt idx="86">
                  <c:v>0.0697564737441252</c:v>
                </c:pt>
                <c:pt idx="87">
                  <c:v>0.052335956242944</c:v>
                </c:pt>
                <c:pt idx="88">
                  <c:v>0.0348994967025011</c:v>
                </c:pt>
                <c:pt idx="89">
                  <c:v>0.0174524064372836</c:v>
                </c:pt>
                <c:pt idx="90">
                  <c:v>6.12323399573677e-17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极化!$E$1</c:f>
              <c:strCache>
                <c:ptCount val="1"/>
                <c:pt idx="0">
                  <c:v>cos^2θ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极化!$A$2:$A$92</c:f>
              <c:numCache>
                <c:formatCode>General</c:formatCode>
                <c:ptCount val="9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</c:numCache>
            </c:numRef>
          </c:xVal>
          <c:yVal>
            <c:numRef>
              <c:f>极化!$E$2:$E$92</c:f>
              <c:numCache>
                <c:formatCode>General</c:formatCode>
                <c:ptCount val="91"/>
                <c:pt idx="0">
                  <c:v>1</c:v>
                </c:pt>
                <c:pt idx="1">
                  <c:v>0.999695413509548</c:v>
                </c:pt>
                <c:pt idx="2">
                  <c:v>0.998782025129912</c:v>
                </c:pt>
                <c:pt idx="3">
                  <c:v>0.997260947684137</c:v>
                </c:pt>
                <c:pt idx="4">
                  <c:v>0.995134034370785</c:v>
                </c:pt>
                <c:pt idx="5">
                  <c:v>0.992403876506104</c:v>
                </c:pt>
                <c:pt idx="6">
                  <c:v>0.989073800366903</c:v>
                </c:pt>
                <c:pt idx="7">
                  <c:v>0.985147863137998</c:v>
                </c:pt>
                <c:pt idx="8">
                  <c:v>0.98063084796916</c:v>
                </c:pt>
                <c:pt idx="9">
                  <c:v>0.975528258147577</c:v>
                </c:pt>
                <c:pt idx="10">
                  <c:v>0.969846310392954</c:v>
                </c:pt>
                <c:pt idx="11">
                  <c:v>0.963591927283394</c:v>
                </c:pt>
                <c:pt idx="12">
                  <c:v>0.956772728821301</c:v>
                </c:pt>
                <c:pt idx="13">
                  <c:v>0.949397023149584</c:v>
                </c:pt>
                <c:pt idx="14">
                  <c:v>0.941473796429463</c:v>
                </c:pt>
                <c:pt idx="15">
                  <c:v>0.933012701892219</c:v>
                </c:pt>
                <c:pt idx="16">
                  <c:v>0.924024048078213</c:v>
                </c:pt>
                <c:pt idx="17">
                  <c:v>0.914518786277521</c:v>
                </c:pt>
                <c:pt idx="18">
                  <c:v>0.904508497187474</c:v>
                </c:pt>
                <c:pt idx="19">
                  <c:v>0.894005376803361</c:v>
                </c:pt>
                <c:pt idx="20">
                  <c:v>0.883022221559489</c:v>
                </c:pt>
                <c:pt idx="21">
                  <c:v>0.871572412738697</c:v>
                </c:pt>
                <c:pt idx="22">
                  <c:v>0.859669900169326</c:v>
                </c:pt>
                <c:pt idx="23">
                  <c:v>0.847329185229499</c:v>
                </c:pt>
                <c:pt idx="24">
                  <c:v>0.834565303179429</c:v>
                </c:pt>
                <c:pt idx="25">
                  <c:v>0.82139380484327</c:v>
                </c:pt>
                <c:pt idx="26">
                  <c:v>0.807830737662829</c:v>
                </c:pt>
                <c:pt idx="27">
                  <c:v>0.793892626146237</c:v>
                </c:pt>
                <c:pt idx="28">
                  <c:v>0.779596451735374</c:v>
                </c:pt>
                <c:pt idx="29">
                  <c:v>0.764959632116602</c:v>
                </c:pt>
                <c:pt idx="30">
                  <c:v>0.75</c:v>
                </c:pt>
                <c:pt idx="31">
                  <c:v>0.734735781392945</c:v>
                </c:pt>
                <c:pt idx="32">
                  <c:v>0.719185573394539</c:v>
                </c:pt>
                <c:pt idx="33">
                  <c:v>0.7033683215379</c:v>
                </c:pt>
                <c:pt idx="34">
                  <c:v>0.687303296707956</c:v>
                </c:pt>
                <c:pt idx="35">
                  <c:v>0.671010071662834</c:v>
                </c:pt>
                <c:pt idx="36">
                  <c:v>0.654508497187474</c:v>
                </c:pt>
                <c:pt idx="37">
                  <c:v>0.6378186779085</c:v>
                </c:pt>
                <c:pt idx="38">
                  <c:v>0.620960947799834</c:v>
                </c:pt>
                <c:pt idx="39">
                  <c:v>0.60395584540888</c:v>
                </c:pt>
                <c:pt idx="40">
                  <c:v>0.586824088833465</c:v>
                </c:pt>
                <c:pt idx="41">
                  <c:v>0.569586550480033</c:v>
                </c:pt>
                <c:pt idx="42">
                  <c:v>0.552264231633827</c:v>
                </c:pt>
                <c:pt idx="43">
                  <c:v>0.534878236872063</c:v>
                </c:pt>
                <c:pt idx="44">
                  <c:v>0.517449748351251</c:v>
                </c:pt>
                <c:pt idx="45">
                  <c:v>0.5</c:v>
                </c:pt>
                <c:pt idx="46">
                  <c:v>0.48255025164875</c:v>
                </c:pt>
                <c:pt idx="47">
                  <c:v>0.465121763127937</c:v>
                </c:pt>
                <c:pt idx="48">
                  <c:v>0.447735768366173</c:v>
                </c:pt>
                <c:pt idx="49">
                  <c:v>0.430413449519967</c:v>
                </c:pt>
                <c:pt idx="50">
                  <c:v>0.413175911166535</c:v>
                </c:pt>
                <c:pt idx="51">
                  <c:v>0.39604415459112</c:v>
                </c:pt>
                <c:pt idx="52">
                  <c:v>0.379039052200166</c:v>
                </c:pt>
                <c:pt idx="53">
                  <c:v>0.362181322091501</c:v>
                </c:pt>
                <c:pt idx="54">
                  <c:v>0.345491502812526</c:v>
                </c:pt>
                <c:pt idx="55">
                  <c:v>0.328989928337166</c:v>
                </c:pt>
                <c:pt idx="56">
                  <c:v>0.312696703292044</c:v>
                </c:pt>
                <c:pt idx="57">
                  <c:v>0.2966316784621</c:v>
                </c:pt>
                <c:pt idx="58">
                  <c:v>0.280814426605461</c:v>
                </c:pt>
                <c:pt idx="59">
                  <c:v>0.265264218607055</c:v>
                </c:pt>
                <c:pt idx="60">
                  <c:v>0.25</c:v>
                </c:pt>
                <c:pt idx="61">
                  <c:v>0.235040367883398</c:v>
                </c:pt>
                <c:pt idx="62">
                  <c:v>0.220403548264627</c:v>
                </c:pt>
                <c:pt idx="63">
                  <c:v>0.206107373853763</c:v>
                </c:pt>
                <c:pt idx="64">
                  <c:v>0.192169262337171</c:v>
                </c:pt>
                <c:pt idx="65">
                  <c:v>0.17860619515673</c:v>
                </c:pt>
                <c:pt idx="66">
                  <c:v>0.165434696820571</c:v>
                </c:pt>
                <c:pt idx="67">
                  <c:v>0.152670814770501</c:v>
                </c:pt>
                <c:pt idx="68">
                  <c:v>0.140330099830675</c:v>
                </c:pt>
                <c:pt idx="69">
                  <c:v>0.128427587261303</c:v>
                </c:pt>
                <c:pt idx="70">
                  <c:v>0.116977778440511</c:v>
                </c:pt>
                <c:pt idx="71">
                  <c:v>0.105994623196639</c:v>
                </c:pt>
                <c:pt idx="72">
                  <c:v>0.0954915028125263</c:v>
                </c:pt>
                <c:pt idx="73">
                  <c:v>0.0854812137224792</c:v>
                </c:pt>
                <c:pt idx="74">
                  <c:v>0.075975951921787</c:v>
                </c:pt>
                <c:pt idx="75">
                  <c:v>0.0669872981077807</c:v>
                </c:pt>
                <c:pt idx="76">
                  <c:v>0.0585262035705365</c:v>
                </c:pt>
                <c:pt idx="77">
                  <c:v>0.0506029768504166</c:v>
                </c:pt>
                <c:pt idx="78">
                  <c:v>0.0432272711786995</c:v>
                </c:pt>
                <c:pt idx="79">
                  <c:v>0.0364080727166063</c:v>
                </c:pt>
                <c:pt idx="80">
                  <c:v>0.0301536896070458</c:v>
                </c:pt>
                <c:pt idx="81">
                  <c:v>0.0244717418524232</c:v>
                </c:pt>
                <c:pt idx="82">
                  <c:v>0.0193691520308406</c:v>
                </c:pt>
                <c:pt idx="83">
                  <c:v>0.0148521368620018</c:v>
                </c:pt>
                <c:pt idx="84">
                  <c:v>0.0109261996330972</c:v>
                </c:pt>
                <c:pt idx="85">
                  <c:v>0.007596123493896</c:v>
                </c:pt>
                <c:pt idx="86">
                  <c:v>0.00486596562921483</c:v>
                </c:pt>
                <c:pt idx="87">
                  <c:v>0.00273905231586335</c:v>
                </c:pt>
                <c:pt idx="88">
                  <c:v>0.00121797487008788</c:v>
                </c:pt>
                <c:pt idx="89">
                  <c:v>0.000304586490452138</c:v>
                </c:pt>
                <c:pt idx="90">
                  <c:v>3.74939945665464e-33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7974"/>
        <c:axId val="265162844"/>
      </c:scatterChart>
      <c:valAx>
        <c:axId val="87697974"/>
        <c:scaling>
          <c:orientation val="minMax"/>
          <c:max val="9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5162844"/>
        <c:crosses val="autoZero"/>
        <c:crossBetween val="midCat"/>
      </c:valAx>
      <c:valAx>
        <c:axId val="2651628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69797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379730</xdr:colOff>
      <xdr:row>17</xdr:row>
      <xdr:rowOff>139700</xdr:rowOff>
    </xdr:from>
    <xdr:to>
      <xdr:col>10</xdr:col>
      <xdr:colOff>461010</xdr:colOff>
      <xdr:row>33</xdr:row>
      <xdr:rowOff>139700</xdr:rowOff>
    </xdr:to>
    <xdr:graphicFrame>
      <xdr:nvGraphicFramePr>
        <xdr:cNvPr id="4" name="图表 3"/>
        <xdr:cNvGraphicFramePr/>
      </xdr:nvGraphicFramePr>
      <xdr:xfrm>
        <a:off x="379730" y="3054350"/>
        <a:ext cx="481139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447675</xdr:colOff>
      <xdr:row>73</xdr:row>
      <xdr:rowOff>120650</xdr:rowOff>
    </xdr:from>
    <xdr:to>
      <xdr:col>13</xdr:col>
      <xdr:colOff>95250</xdr:colOff>
      <xdr:row>89</xdr:row>
      <xdr:rowOff>120650</xdr:rowOff>
    </xdr:to>
    <xdr:graphicFrame>
      <xdr:nvGraphicFramePr>
        <xdr:cNvPr id="3" name="图表 2"/>
        <xdr:cNvGraphicFramePr/>
      </xdr:nvGraphicFramePr>
      <xdr:xfrm>
        <a:off x="3575685" y="12640945"/>
        <a:ext cx="48139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N16" sqref="N16"/>
    </sheetView>
  </sheetViews>
  <sheetFormatPr defaultColWidth="9" defaultRowHeight="13.5"/>
  <cols>
    <col min="2" max="2" width="9" hidden="1" customWidth="1"/>
    <col min="3" max="3" width="12.7964601769912" hidden="1" customWidth="1"/>
    <col min="4" max="5" width="9" hidden="1" customWidth="1"/>
    <col min="6" max="6" width="9.53097345132743"/>
    <col min="7" max="9" width="12.7964601769912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0.6</v>
      </c>
      <c r="B2" s="1">
        <v>1</v>
      </c>
      <c r="C2" s="1">
        <f t="shared" ref="C2:C16" si="0">1/A2</f>
        <v>1.66666666666667</v>
      </c>
      <c r="D2" s="1">
        <f t="shared" ref="D2:D16" si="1">1/A2/A2</f>
        <v>2.77777777777778</v>
      </c>
      <c r="E2" s="1">
        <f t="shared" ref="E2:E16" si="2">D2/A2</f>
        <v>4.62962962962963</v>
      </c>
      <c r="F2" s="1">
        <v>1</v>
      </c>
      <c r="G2">
        <f>C2/C$2</f>
        <v>1</v>
      </c>
      <c r="H2">
        <f>D2/D$2</f>
        <v>1</v>
      </c>
      <c r="I2">
        <f>E2/E$2</f>
        <v>1</v>
      </c>
    </row>
    <row r="3" spans="1:9">
      <c r="A3" s="1">
        <v>0.65</v>
      </c>
      <c r="B3" s="1">
        <v>0.949</v>
      </c>
      <c r="C3" s="1">
        <f t="shared" si="0"/>
        <v>1.53846153846154</v>
      </c>
      <c r="D3" s="1">
        <f t="shared" si="1"/>
        <v>2.36686390532544</v>
      </c>
      <c r="E3" s="1">
        <f t="shared" si="2"/>
        <v>3.64132908511607</v>
      </c>
      <c r="F3" s="1">
        <v>0.900601</v>
      </c>
      <c r="G3">
        <f t="shared" ref="G3:G16" si="3">C3/C$2</f>
        <v>0.923076923076922</v>
      </c>
      <c r="H3">
        <f t="shared" ref="H3:H16" si="4">D3/D$2</f>
        <v>0.852071005917158</v>
      </c>
      <c r="I3">
        <f t="shared" ref="I3:I16" si="5">E3/E$2</f>
        <v>0.786527082385071</v>
      </c>
    </row>
    <row r="4" spans="1:9">
      <c r="A4" s="1">
        <v>0.7</v>
      </c>
      <c r="B4" s="1">
        <v>0.882</v>
      </c>
      <c r="C4" s="1">
        <f t="shared" si="0"/>
        <v>1.42857142857143</v>
      </c>
      <c r="D4" s="1">
        <f t="shared" si="1"/>
        <v>2.04081632653061</v>
      </c>
      <c r="E4" s="1">
        <f t="shared" si="2"/>
        <v>2.91545189504373</v>
      </c>
      <c r="F4" s="1">
        <v>0.777924</v>
      </c>
      <c r="G4">
        <f t="shared" si="3"/>
        <v>0.857142857142856</v>
      </c>
      <c r="H4">
        <f t="shared" si="4"/>
        <v>0.734693877551019</v>
      </c>
      <c r="I4">
        <f t="shared" si="5"/>
        <v>0.629737609329446</v>
      </c>
    </row>
    <row r="5" spans="1:9">
      <c r="A5" s="1">
        <v>0.75</v>
      </c>
      <c r="B5" s="1">
        <v>0.829</v>
      </c>
      <c r="C5" s="1">
        <f t="shared" si="0"/>
        <v>1.33333333333333</v>
      </c>
      <c r="D5" s="1">
        <f t="shared" si="1"/>
        <v>1.77777777777778</v>
      </c>
      <c r="E5" s="1">
        <f t="shared" si="2"/>
        <v>2.37037037037037</v>
      </c>
      <c r="F5" s="1">
        <v>0.687241</v>
      </c>
      <c r="G5">
        <f t="shared" si="3"/>
        <v>0.799999999999996</v>
      </c>
      <c r="H5">
        <f t="shared" si="4"/>
        <v>0.64</v>
      </c>
      <c r="I5">
        <f t="shared" si="5"/>
        <v>0.512</v>
      </c>
    </row>
    <row r="6" spans="1:9">
      <c r="A6" s="1">
        <v>0.8</v>
      </c>
      <c r="B6" s="1">
        <v>0.778</v>
      </c>
      <c r="C6" s="1">
        <f t="shared" si="0"/>
        <v>1.25</v>
      </c>
      <c r="D6" s="1">
        <f t="shared" si="1"/>
        <v>1.5625</v>
      </c>
      <c r="E6" s="1">
        <f t="shared" si="2"/>
        <v>1.953125</v>
      </c>
      <c r="F6" s="1">
        <v>0.605284</v>
      </c>
      <c r="G6">
        <f t="shared" si="3"/>
        <v>0.749999999999998</v>
      </c>
      <c r="H6">
        <f t="shared" si="4"/>
        <v>0.5625</v>
      </c>
      <c r="I6">
        <f t="shared" si="5"/>
        <v>0.421875</v>
      </c>
    </row>
    <row r="7" spans="1:9">
      <c r="A7" s="1">
        <v>0.85</v>
      </c>
      <c r="B7" s="1">
        <v>0.742</v>
      </c>
      <c r="C7" s="1">
        <f t="shared" si="0"/>
        <v>1.17647058823529</v>
      </c>
      <c r="D7" s="1">
        <f t="shared" si="1"/>
        <v>1.3840830449827</v>
      </c>
      <c r="E7" s="1">
        <f t="shared" si="2"/>
        <v>1.62833299409729</v>
      </c>
      <c r="F7" s="1">
        <v>0.550564</v>
      </c>
      <c r="G7">
        <f t="shared" si="3"/>
        <v>0.705882352941173</v>
      </c>
      <c r="H7">
        <f t="shared" si="4"/>
        <v>0.498269896193772</v>
      </c>
      <c r="I7">
        <f t="shared" si="5"/>
        <v>0.351719926725015</v>
      </c>
    </row>
    <row r="8" spans="1:9">
      <c r="A8" s="1">
        <v>0.9</v>
      </c>
      <c r="B8" s="1">
        <v>0.697</v>
      </c>
      <c r="C8" s="1">
        <f t="shared" si="0"/>
        <v>1.11111111111111</v>
      </c>
      <c r="D8" s="1">
        <f t="shared" si="1"/>
        <v>1.23456790123457</v>
      </c>
      <c r="E8" s="1">
        <f t="shared" si="2"/>
        <v>1.37174211248285</v>
      </c>
      <c r="F8" s="1">
        <v>0.485809</v>
      </c>
      <c r="G8">
        <f t="shared" si="3"/>
        <v>0.666666666666665</v>
      </c>
      <c r="H8">
        <f t="shared" si="4"/>
        <v>0.444444444444445</v>
      </c>
      <c r="I8">
        <f t="shared" si="5"/>
        <v>0.296296296296296</v>
      </c>
    </row>
    <row r="9" spans="1:9">
      <c r="A9" s="1">
        <v>0.95</v>
      </c>
      <c r="B9" s="1">
        <v>0.668</v>
      </c>
      <c r="C9" s="1">
        <f t="shared" si="0"/>
        <v>1.05263157894737</v>
      </c>
      <c r="D9" s="1">
        <f t="shared" si="1"/>
        <v>1.10803324099723</v>
      </c>
      <c r="E9" s="1">
        <f t="shared" si="2"/>
        <v>1.16635077999708</v>
      </c>
      <c r="F9" s="1">
        <v>0.446224</v>
      </c>
      <c r="G9">
        <f t="shared" si="3"/>
        <v>0.631578947368421</v>
      </c>
      <c r="H9">
        <f t="shared" si="4"/>
        <v>0.398891966759003</v>
      </c>
      <c r="I9">
        <f t="shared" si="5"/>
        <v>0.251931768479369</v>
      </c>
    </row>
    <row r="10" spans="1:9">
      <c r="A10" s="1">
        <v>1</v>
      </c>
      <c r="B10" s="1">
        <v>0.631</v>
      </c>
      <c r="C10" s="1">
        <f t="shared" si="0"/>
        <v>1</v>
      </c>
      <c r="D10" s="1">
        <f t="shared" si="1"/>
        <v>1</v>
      </c>
      <c r="E10" s="1">
        <f t="shared" si="2"/>
        <v>1</v>
      </c>
      <c r="F10" s="1">
        <v>0.398161</v>
      </c>
      <c r="G10">
        <f t="shared" si="3"/>
        <v>0.599999999999999</v>
      </c>
      <c r="H10">
        <f t="shared" si="4"/>
        <v>0.36</v>
      </c>
      <c r="I10">
        <f t="shared" si="5"/>
        <v>0.216</v>
      </c>
    </row>
    <row r="11" spans="1:9">
      <c r="A11" s="1">
        <v>1.05</v>
      </c>
      <c r="B11" s="1">
        <v>0.612</v>
      </c>
      <c r="C11" s="1">
        <f t="shared" si="0"/>
        <v>0.952380952380952</v>
      </c>
      <c r="D11" s="1">
        <f t="shared" si="1"/>
        <v>0.90702947845805</v>
      </c>
      <c r="E11" s="1">
        <f t="shared" si="2"/>
        <v>0.863837598531476</v>
      </c>
      <c r="F11" s="1">
        <v>0.374544</v>
      </c>
      <c r="G11">
        <f t="shared" si="3"/>
        <v>0.57142857142857</v>
      </c>
      <c r="H11">
        <f t="shared" si="4"/>
        <v>0.326530612244898</v>
      </c>
      <c r="I11">
        <f t="shared" si="5"/>
        <v>0.186588921282799</v>
      </c>
    </row>
    <row r="12" spans="1:9">
      <c r="A12" s="1">
        <v>1.1</v>
      </c>
      <c r="B12" s="1">
        <v>0.578</v>
      </c>
      <c r="C12" s="1">
        <f t="shared" si="0"/>
        <v>0.909090909090909</v>
      </c>
      <c r="D12" s="1">
        <f t="shared" si="1"/>
        <v>0.826446280991735</v>
      </c>
      <c r="E12" s="1">
        <f t="shared" si="2"/>
        <v>0.751314800901578</v>
      </c>
      <c r="F12" s="1">
        <v>0.334084</v>
      </c>
      <c r="G12">
        <f t="shared" si="3"/>
        <v>0.545454545454544</v>
      </c>
      <c r="H12">
        <f t="shared" si="4"/>
        <v>0.297520661157024</v>
      </c>
      <c r="I12">
        <f t="shared" si="5"/>
        <v>0.162283996994741</v>
      </c>
    </row>
    <row r="13" spans="1:9">
      <c r="A13" s="1">
        <v>1.15</v>
      </c>
      <c r="B13" s="1">
        <v>0.564</v>
      </c>
      <c r="C13" s="1">
        <f t="shared" si="0"/>
        <v>0.869565217391304</v>
      </c>
      <c r="D13" s="1">
        <f t="shared" si="1"/>
        <v>0.756143667296787</v>
      </c>
      <c r="E13" s="1">
        <f t="shared" si="2"/>
        <v>0.657516232431988</v>
      </c>
      <c r="F13" s="1">
        <v>0.318096</v>
      </c>
      <c r="G13">
        <f t="shared" si="3"/>
        <v>0.521739130434781</v>
      </c>
      <c r="H13">
        <f t="shared" si="4"/>
        <v>0.272211720226843</v>
      </c>
      <c r="I13">
        <f t="shared" si="5"/>
        <v>0.142023506205309</v>
      </c>
    </row>
    <row r="14" spans="1:9">
      <c r="A14" s="1">
        <v>1.2</v>
      </c>
      <c r="B14" s="1">
        <v>0.524</v>
      </c>
      <c r="C14" s="1">
        <f t="shared" si="0"/>
        <v>0.833333333333333</v>
      </c>
      <c r="D14" s="1">
        <f t="shared" si="1"/>
        <v>0.694444444444445</v>
      </c>
      <c r="E14" s="1">
        <f t="shared" si="2"/>
        <v>0.578703703703704</v>
      </c>
      <c r="F14" s="1">
        <v>0.274576</v>
      </c>
      <c r="G14">
        <f t="shared" si="3"/>
        <v>0.499999999999999</v>
      </c>
      <c r="H14">
        <f t="shared" si="4"/>
        <v>0.25</v>
      </c>
      <c r="I14">
        <f t="shared" si="5"/>
        <v>0.125</v>
      </c>
    </row>
    <row r="15" spans="1:9">
      <c r="A15" s="1">
        <v>1.25</v>
      </c>
      <c r="B15" s="1">
        <v>0.518</v>
      </c>
      <c r="C15" s="1">
        <f t="shared" si="0"/>
        <v>0.8</v>
      </c>
      <c r="D15" s="1">
        <f t="shared" si="1"/>
        <v>0.64</v>
      </c>
      <c r="E15" s="1">
        <f t="shared" si="2"/>
        <v>0.512</v>
      </c>
      <c r="F15" s="1">
        <v>0.268324</v>
      </c>
      <c r="G15">
        <f t="shared" si="3"/>
        <v>0.479999999999999</v>
      </c>
      <c r="H15">
        <f t="shared" si="4"/>
        <v>0.2304</v>
      </c>
      <c r="I15">
        <f t="shared" si="5"/>
        <v>0.110592</v>
      </c>
    </row>
    <row r="16" spans="1:9">
      <c r="A16" s="1">
        <v>1.3</v>
      </c>
      <c r="B16" s="1">
        <v>0.498</v>
      </c>
      <c r="C16" s="1">
        <f t="shared" si="0"/>
        <v>0.769230769230769</v>
      </c>
      <c r="D16" s="1">
        <f t="shared" si="1"/>
        <v>0.591715976331361</v>
      </c>
      <c r="E16" s="1">
        <f t="shared" si="2"/>
        <v>0.455166135639508</v>
      </c>
      <c r="F16" s="1">
        <v>0.248004</v>
      </c>
      <c r="G16">
        <f t="shared" si="3"/>
        <v>0.461538461538461</v>
      </c>
      <c r="H16">
        <f t="shared" si="4"/>
        <v>0.21301775147929</v>
      </c>
      <c r="I16">
        <f t="shared" si="5"/>
        <v>0.0983158852981337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tabSelected="1" topLeftCell="C67" workbookViewId="0">
      <selection activeCell="P80" sqref="P80"/>
    </sheetView>
  </sheetViews>
  <sheetFormatPr defaultColWidth="9" defaultRowHeight="13.5" outlineLevelCol="4"/>
  <cols>
    <col min="2" max="2" width="9" hidden="1" customWidth="1"/>
    <col min="4" max="5" width="12.7964601769912"/>
  </cols>
  <sheetData>
    <row r="1" ht="13.85" spans="1:5">
      <c r="A1" s="1" t="s">
        <v>0</v>
      </c>
      <c r="B1" s="1"/>
      <c r="C1" t="s">
        <v>5</v>
      </c>
      <c r="D1" s="2" t="s">
        <v>9</v>
      </c>
      <c r="E1" s="2" t="s">
        <v>10</v>
      </c>
    </row>
    <row r="2" spans="1:5">
      <c r="A2" s="1">
        <v>0</v>
      </c>
      <c r="B2" s="1">
        <v>1</v>
      </c>
      <c r="C2">
        <f>B2*B2</f>
        <v>1</v>
      </c>
      <c r="D2">
        <f>COS(A2/180*PI())</f>
        <v>1</v>
      </c>
      <c r="E2">
        <f>D2*D2</f>
        <v>1</v>
      </c>
    </row>
    <row r="3" spans="1:5">
      <c r="A3" s="1">
        <v>1</v>
      </c>
      <c r="B3" s="1">
        <v>1</v>
      </c>
      <c r="C3">
        <f t="shared" ref="C3:C34" si="0">B3*B3</f>
        <v>1</v>
      </c>
      <c r="D3">
        <f t="shared" ref="D3:D34" si="1">COS(A3/180*PI())</f>
        <v>0.999847695156391</v>
      </c>
      <c r="E3">
        <f t="shared" ref="E3:E34" si="2">D3*D3</f>
        <v>0.999695413509548</v>
      </c>
    </row>
    <row r="4" spans="1:5">
      <c r="A4" s="1">
        <v>2</v>
      </c>
      <c r="B4" s="1">
        <v>1</v>
      </c>
      <c r="C4">
        <f t="shared" si="0"/>
        <v>1</v>
      </c>
      <c r="D4">
        <f t="shared" si="1"/>
        <v>0.999390827019096</v>
      </c>
      <c r="E4">
        <f t="shared" si="2"/>
        <v>0.998782025129912</v>
      </c>
    </row>
    <row r="5" spans="1:5">
      <c r="A5" s="1">
        <v>3</v>
      </c>
      <c r="B5" s="1">
        <v>1</v>
      </c>
      <c r="C5">
        <f t="shared" si="0"/>
        <v>1</v>
      </c>
      <c r="D5">
        <f t="shared" si="1"/>
        <v>0.998629534754574</v>
      </c>
      <c r="E5">
        <f t="shared" si="2"/>
        <v>0.997260947684137</v>
      </c>
    </row>
    <row r="6" spans="1:5">
      <c r="A6" s="1">
        <v>4</v>
      </c>
      <c r="B6" s="1">
        <v>1</v>
      </c>
      <c r="C6">
        <f t="shared" si="0"/>
        <v>1</v>
      </c>
      <c r="D6">
        <f t="shared" si="1"/>
        <v>0.997564050259824</v>
      </c>
      <c r="E6">
        <f t="shared" si="2"/>
        <v>0.995134034370785</v>
      </c>
    </row>
    <row r="7" spans="1:5">
      <c r="A7" s="1">
        <v>5</v>
      </c>
      <c r="B7" s="1">
        <v>1</v>
      </c>
      <c r="C7">
        <f t="shared" si="0"/>
        <v>1</v>
      </c>
      <c r="D7">
        <f t="shared" si="1"/>
        <v>0.996194698091746</v>
      </c>
      <c r="E7">
        <f t="shared" si="2"/>
        <v>0.992403876506104</v>
      </c>
    </row>
    <row r="8" spans="1:5">
      <c r="A8" s="1">
        <v>6</v>
      </c>
      <c r="B8" s="1">
        <v>1</v>
      </c>
      <c r="C8">
        <f t="shared" si="0"/>
        <v>1</v>
      </c>
      <c r="D8">
        <f t="shared" si="1"/>
        <v>0.994521895368273</v>
      </c>
      <c r="E8">
        <f t="shared" si="2"/>
        <v>0.989073800366903</v>
      </c>
    </row>
    <row r="9" spans="1:5">
      <c r="A9" s="1">
        <v>7</v>
      </c>
      <c r="B9" s="1">
        <v>0.99</v>
      </c>
      <c r="C9">
        <f t="shared" si="0"/>
        <v>0.9801</v>
      </c>
      <c r="D9">
        <f t="shared" si="1"/>
        <v>0.992546151641322</v>
      </c>
      <c r="E9">
        <f t="shared" si="2"/>
        <v>0.985147863137998</v>
      </c>
    </row>
    <row r="10" spans="1:5">
      <c r="A10" s="1">
        <v>8</v>
      </c>
      <c r="B10" s="1">
        <v>0.99</v>
      </c>
      <c r="C10">
        <f t="shared" si="0"/>
        <v>0.9801</v>
      </c>
      <c r="D10">
        <f t="shared" si="1"/>
        <v>0.99026806874157</v>
      </c>
      <c r="E10">
        <f t="shared" si="2"/>
        <v>0.98063084796916</v>
      </c>
    </row>
    <row r="11" spans="1:5">
      <c r="A11" s="1">
        <v>9</v>
      </c>
      <c r="B11" s="1">
        <v>0.99</v>
      </c>
      <c r="C11">
        <f t="shared" si="0"/>
        <v>0.9801</v>
      </c>
      <c r="D11">
        <f t="shared" si="1"/>
        <v>0.987688340595138</v>
      </c>
      <c r="E11">
        <f t="shared" si="2"/>
        <v>0.975528258147577</v>
      </c>
    </row>
    <row r="12" spans="1:5">
      <c r="A12" s="1">
        <v>10</v>
      </c>
      <c r="B12" s="1">
        <v>0.99</v>
      </c>
      <c r="C12">
        <f t="shared" si="0"/>
        <v>0.9801</v>
      </c>
      <c r="D12">
        <f t="shared" si="1"/>
        <v>0.984807753012208</v>
      </c>
      <c r="E12">
        <f t="shared" si="2"/>
        <v>0.969846310392954</v>
      </c>
    </row>
    <row r="13" spans="1:5">
      <c r="A13" s="1">
        <v>11</v>
      </c>
      <c r="B13" s="1">
        <v>0.98</v>
      </c>
      <c r="C13">
        <f t="shared" si="0"/>
        <v>0.9604</v>
      </c>
      <c r="D13">
        <f t="shared" si="1"/>
        <v>0.981627183447664</v>
      </c>
      <c r="E13">
        <f t="shared" si="2"/>
        <v>0.963591927283394</v>
      </c>
    </row>
    <row r="14" spans="1:5">
      <c r="A14" s="1">
        <v>12</v>
      </c>
      <c r="B14" s="1">
        <v>0.98</v>
      </c>
      <c r="C14">
        <f t="shared" si="0"/>
        <v>0.9604</v>
      </c>
      <c r="D14">
        <f t="shared" si="1"/>
        <v>0.978147600733806</v>
      </c>
      <c r="E14">
        <f t="shared" si="2"/>
        <v>0.956772728821301</v>
      </c>
    </row>
    <row r="15" spans="1:5">
      <c r="A15" s="1">
        <v>13</v>
      </c>
      <c r="B15" s="1">
        <v>0.98</v>
      </c>
      <c r="C15">
        <f t="shared" si="0"/>
        <v>0.9604</v>
      </c>
      <c r="D15">
        <f t="shared" si="1"/>
        <v>0.974370064785235</v>
      </c>
      <c r="E15">
        <f t="shared" si="2"/>
        <v>0.949397023149584</v>
      </c>
    </row>
    <row r="16" spans="1:5">
      <c r="A16" s="1">
        <v>14</v>
      </c>
      <c r="B16" s="1">
        <v>0.97</v>
      </c>
      <c r="C16">
        <f t="shared" si="0"/>
        <v>0.9409</v>
      </c>
      <c r="D16">
        <f t="shared" si="1"/>
        <v>0.970295726275996</v>
      </c>
      <c r="E16">
        <f t="shared" si="2"/>
        <v>0.941473796429463</v>
      </c>
    </row>
    <row r="17" spans="1:5">
      <c r="A17" s="1">
        <v>15</v>
      </c>
      <c r="B17" s="1">
        <v>0.96</v>
      </c>
      <c r="C17">
        <f t="shared" si="0"/>
        <v>0.9216</v>
      </c>
      <c r="D17">
        <f t="shared" si="1"/>
        <v>0.965925826289068</v>
      </c>
      <c r="E17">
        <f t="shared" si="2"/>
        <v>0.933012701892219</v>
      </c>
    </row>
    <row r="18" spans="1:5">
      <c r="A18" s="1">
        <v>16</v>
      </c>
      <c r="B18" s="1">
        <v>0.96</v>
      </c>
      <c r="C18">
        <f t="shared" si="0"/>
        <v>0.9216</v>
      </c>
      <c r="D18">
        <f t="shared" si="1"/>
        <v>0.961261695938319</v>
      </c>
      <c r="E18">
        <f t="shared" si="2"/>
        <v>0.924024048078213</v>
      </c>
    </row>
    <row r="19" spans="1:5">
      <c r="A19" s="1">
        <v>17</v>
      </c>
      <c r="B19" s="1">
        <v>0.96</v>
      </c>
      <c r="C19">
        <f t="shared" si="0"/>
        <v>0.9216</v>
      </c>
      <c r="D19">
        <f t="shared" si="1"/>
        <v>0.956304755963036</v>
      </c>
      <c r="E19">
        <f t="shared" si="2"/>
        <v>0.914518786277521</v>
      </c>
    </row>
    <row r="20" spans="1:5">
      <c r="A20" s="1">
        <v>18</v>
      </c>
      <c r="B20" s="1">
        <v>0.95</v>
      </c>
      <c r="C20">
        <f t="shared" si="0"/>
        <v>0.9025</v>
      </c>
      <c r="D20">
        <f t="shared" si="1"/>
        <v>0.951056516295154</v>
      </c>
      <c r="E20">
        <f t="shared" si="2"/>
        <v>0.904508497187474</v>
      </c>
    </row>
    <row r="21" spans="1:5">
      <c r="A21" s="1">
        <v>19</v>
      </c>
      <c r="B21" s="1">
        <v>0.95</v>
      </c>
      <c r="C21">
        <f t="shared" si="0"/>
        <v>0.9025</v>
      </c>
      <c r="D21">
        <f t="shared" si="1"/>
        <v>0.945518575599317</v>
      </c>
      <c r="E21">
        <f t="shared" si="2"/>
        <v>0.894005376803361</v>
      </c>
    </row>
    <row r="22" spans="1:5">
      <c r="A22" s="1">
        <v>20</v>
      </c>
      <c r="B22" s="1">
        <v>0.94</v>
      </c>
      <c r="C22">
        <f t="shared" si="0"/>
        <v>0.8836</v>
      </c>
      <c r="D22">
        <f t="shared" si="1"/>
        <v>0.939692620785908</v>
      </c>
      <c r="E22">
        <f t="shared" si="2"/>
        <v>0.883022221559489</v>
      </c>
    </row>
    <row r="23" spans="1:5">
      <c r="A23" s="1">
        <v>21</v>
      </c>
      <c r="B23" s="1">
        <v>0.94</v>
      </c>
      <c r="C23">
        <f t="shared" si="0"/>
        <v>0.8836</v>
      </c>
      <c r="D23">
        <f t="shared" si="1"/>
        <v>0.933580426497202</v>
      </c>
      <c r="E23">
        <f t="shared" si="2"/>
        <v>0.871572412738697</v>
      </c>
    </row>
    <row r="24" spans="1:5">
      <c r="A24" s="1">
        <v>22</v>
      </c>
      <c r="B24" s="1">
        <v>0.93</v>
      </c>
      <c r="C24">
        <f t="shared" si="0"/>
        <v>0.8649</v>
      </c>
      <c r="D24">
        <f t="shared" si="1"/>
        <v>0.927183854566787</v>
      </c>
      <c r="E24">
        <f t="shared" si="2"/>
        <v>0.859669900169326</v>
      </c>
    </row>
    <row r="25" spans="1:5">
      <c r="A25" s="1">
        <v>23</v>
      </c>
      <c r="B25" s="1">
        <v>0.93</v>
      </c>
      <c r="C25">
        <f t="shared" si="0"/>
        <v>0.8649</v>
      </c>
      <c r="D25">
        <f t="shared" si="1"/>
        <v>0.92050485345244</v>
      </c>
      <c r="E25">
        <f t="shared" si="2"/>
        <v>0.847329185229499</v>
      </c>
    </row>
    <row r="26" spans="1:5">
      <c r="A26" s="1">
        <v>24</v>
      </c>
      <c r="B26" s="1">
        <v>0.92</v>
      </c>
      <c r="C26">
        <f t="shared" si="0"/>
        <v>0.8464</v>
      </c>
      <c r="D26">
        <f t="shared" si="1"/>
        <v>0.913545457642601</v>
      </c>
      <c r="E26">
        <f t="shared" si="2"/>
        <v>0.834565303179429</v>
      </c>
    </row>
    <row r="27" spans="1:5">
      <c r="A27" s="1">
        <v>25</v>
      </c>
      <c r="B27" s="1">
        <v>0.92</v>
      </c>
      <c r="C27">
        <f t="shared" si="0"/>
        <v>0.8464</v>
      </c>
      <c r="D27">
        <f t="shared" si="1"/>
        <v>0.90630778703665</v>
      </c>
      <c r="E27">
        <f t="shared" si="2"/>
        <v>0.82139380484327</v>
      </c>
    </row>
    <row r="28" spans="1:5">
      <c r="A28" s="1">
        <v>26</v>
      </c>
      <c r="B28" s="1">
        <v>0.91</v>
      </c>
      <c r="C28">
        <f t="shared" si="0"/>
        <v>0.8281</v>
      </c>
      <c r="D28">
        <f t="shared" si="1"/>
        <v>0.898794046299167</v>
      </c>
      <c r="E28">
        <f t="shared" si="2"/>
        <v>0.807830737662829</v>
      </c>
    </row>
    <row r="29" spans="1:5">
      <c r="A29" s="1">
        <v>27</v>
      </c>
      <c r="B29" s="1">
        <v>0.9</v>
      </c>
      <c r="C29">
        <f t="shared" si="0"/>
        <v>0.81</v>
      </c>
      <c r="D29">
        <f t="shared" si="1"/>
        <v>0.891006524188368</v>
      </c>
      <c r="E29">
        <f t="shared" si="2"/>
        <v>0.793892626146237</v>
      </c>
    </row>
    <row r="30" spans="1:5">
      <c r="A30" s="1">
        <v>28</v>
      </c>
      <c r="B30" s="1">
        <v>0.89</v>
      </c>
      <c r="C30">
        <f t="shared" si="0"/>
        <v>0.7921</v>
      </c>
      <c r="D30">
        <f t="shared" si="1"/>
        <v>0.882947592858927</v>
      </c>
      <c r="E30">
        <f t="shared" si="2"/>
        <v>0.779596451735374</v>
      </c>
    </row>
    <row r="31" spans="1:5">
      <c r="A31" s="1">
        <v>29</v>
      </c>
      <c r="B31" s="1">
        <v>0.89</v>
      </c>
      <c r="C31">
        <f t="shared" si="0"/>
        <v>0.7921</v>
      </c>
      <c r="D31">
        <f t="shared" si="1"/>
        <v>0.874619707139396</v>
      </c>
      <c r="E31">
        <f t="shared" si="2"/>
        <v>0.764959632116602</v>
      </c>
    </row>
    <row r="32" spans="1:5">
      <c r="A32" s="1">
        <v>30</v>
      </c>
      <c r="B32" s="1">
        <v>0.88</v>
      </c>
      <c r="C32">
        <f t="shared" si="0"/>
        <v>0.7744</v>
      </c>
      <c r="D32">
        <f t="shared" si="1"/>
        <v>0.866025403784439</v>
      </c>
      <c r="E32">
        <f t="shared" si="2"/>
        <v>0.75</v>
      </c>
    </row>
    <row r="33" spans="1:5">
      <c r="A33" s="1">
        <v>31</v>
      </c>
      <c r="B33" s="1">
        <v>0.87</v>
      </c>
      <c r="C33">
        <f t="shared" si="0"/>
        <v>0.7569</v>
      </c>
      <c r="D33">
        <f t="shared" si="1"/>
        <v>0.857167300702112</v>
      </c>
      <c r="E33">
        <f t="shared" si="2"/>
        <v>0.734735781392945</v>
      </c>
    </row>
    <row r="34" spans="1:5">
      <c r="A34" s="1">
        <v>32</v>
      </c>
      <c r="B34" s="1">
        <v>0.86</v>
      </c>
      <c r="C34">
        <f t="shared" si="0"/>
        <v>0.7396</v>
      </c>
      <c r="D34">
        <f t="shared" si="1"/>
        <v>0.848048096156426</v>
      </c>
      <c r="E34">
        <f t="shared" si="2"/>
        <v>0.719185573394539</v>
      </c>
    </row>
    <row r="35" spans="1:5">
      <c r="A35" s="1">
        <v>33</v>
      </c>
      <c r="B35" s="1">
        <v>0.85</v>
      </c>
      <c r="C35">
        <f t="shared" ref="C35:C66" si="3">B35*B35</f>
        <v>0.7225</v>
      </c>
      <c r="D35">
        <f t="shared" ref="D35:D66" si="4">COS(A35/180*PI())</f>
        <v>0.838670567945424</v>
      </c>
      <c r="E35">
        <f t="shared" ref="E35:E66" si="5">D35*D35</f>
        <v>0.7033683215379</v>
      </c>
    </row>
    <row r="36" spans="1:5">
      <c r="A36" s="1">
        <v>34</v>
      </c>
      <c r="B36" s="1">
        <v>0.84</v>
      </c>
      <c r="C36">
        <f t="shared" si="3"/>
        <v>0.7056</v>
      </c>
      <c r="D36">
        <f t="shared" si="4"/>
        <v>0.829037572555042</v>
      </c>
      <c r="E36">
        <f t="shared" si="5"/>
        <v>0.687303296707956</v>
      </c>
    </row>
    <row r="37" spans="1:5">
      <c r="A37" s="1">
        <v>35</v>
      </c>
      <c r="B37" s="1">
        <v>0.83</v>
      </c>
      <c r="C37">
        <f t="shared" si="3"/>
        <v>0.6889</v>
      </c>
      <c r="D37">
        <f t="shared" si="4"/>
        <v>0.819152044288992</v>
      </c>
      <c r="E37">
        <f t="shared" si="5"/>
        <v>0.671010071662834</v>
      </c>
    </row>
    <row r="38" spans="1:5">
      <c r="A38" s="1">
        <v>36</v>
      </c>
      <c r="B38" s="1">
        <v>0.83</v>
      </c>
      <c r="C38">
        <f t="shared" si="3"/>
        <v>0.6889</v>
      </c>
      <c r="D38">
        <f t="shared" si="4"/>
        <v>0.809016994374947</v>
      </c>
      <c r="E38">
        <f t="shared" si="5"/>
        <v>0.654508497187474</v>
      </c>
    </row>
    <row r="39" spans="1:5">
      <c r="A39" s="1">
        <v>37</v>
      </c>
      <c r="B39" s="1">
        <v>0.82</v>
      </c>
      <c r="C39">
        <f t="shared" si="3"/>
        <v>0.6724</v>
      </c>
      <c r="D39">
        <f t="shared" si="4"/>
        <v>0.798635510047293</v>
      </c>
      <c r="E39">
        <f t="shared" si="5"/>
        <v>0.6378186779085</v>
      </c>
    </row>
    <row r="40" spans="1:5">
      <c r="A40" s="1">
        <v>38</v>
      </c>
      <c r="B40" s="1">
        <v>0.8</v>
      </c>
      <c r="C40">
        <f t="shared" si="3"/>
        <v>0.64</v>
      </c>
      <c r="D40">
        <f t="shared" si="4"/>
        <v>0.788010753606722</v>
      </c>
      <c r="E40">
        <f t="shared" si="5"/>
        <v>0.620960947799834</v>
      </c>
    </row>
    <row r="41" spans="1:5">
      <c r="A41" s="1">
        <v>39</v>
      </c>
      <c r="B41" s="1">
        <v>0.8</v>
      </c>
      <c r="C41">
        <f t="shared" si="3"/>
        <v>0.64</v>
      </c>
      <c r="D41">
        <f t="shared" si="4"/>
        <v>0.777145961456971</v>
      </c>
      <c r="E41">
        <f t="shared" si="5"/>
        <v>0.60395584540888</v>
      </c>
    </row>
    <row r="42" spans="1:5">
      <c r="A42" s="1">
        <v>40</v>
      </c>
      <c r="B42" s="1">
        <v>0.78</v>
      </c>
      <c r="C42">
        <f t="shared" si="3"/>
        <v>0.6084</v>
      </c>
      <c r="D42">
        <f t="shared" si="4"/>
        <v>0.766044443118978</v>
      </c>
      <c r="E42">
        <f t="shared" si="5"/>
        <v>0.586824088833465</v>
      </c>
    </row>
    <row r="43" spans="1:5">
      <c r="A43" s="1">
        <v>41</v>
      </c>
      <c r="B43" s="1">
        <v>0.78</v>
      </c>
      <c r="C43">
        <f t="shared" si="3"/>
        <v>0.6084</v>
      </c>
      <c r="D43">
        <f t="shared" si="4"/>
        <v>0.754709580222772</v>
      </c>
      <c r="E43">
        <f t="shared" si="5"/>
        <v>0.569586550480033</v>
      </c>
    </row>
    <row r="44" spans="1:5">
      <c r="A44" s="1">
        <v>42</v>
      </c>
      <c r="B44" s="1">
        <v>0.77</v>
      </c>
      <c r="C44">
        <f t="shared" si="3"/>
        <v>0.5929</v>
      </c>
      <c r="D44">
        <f t="shared" si="4"/>
        <v>0.743144825477394</v>
      </c>
      <c r="E44">
        <f t="shared" si="5"/>
        <v>0.552264231633827</v>
      </c>
    </row>
    <row r="45" spans="1:5">
      <c r="A45" s="1">
        <v>43</v>
      </c>
      <c r="B45" s="1">
        <v>0.76</v>
      </c>
      <c r="C45">
        <f t="shared" si="3"/>
        <v>0.5776</v>
      </c>
      <c r="D45">
        <f t="shared" si="4"/>
        <v>0.73135370161917</v>
      </c>
      <c r="E45">
        <f t="shared" si="5"/>
        <v>0.534878236872063</v>
      </c>
    </row>
    <row r="46" spans="1:5">
      <c r="A46" s="1">
        <v>44</v>
      </c>
      <c r="B46" s="1">
        <v>0.74</v>
      </c>
      <c r="C46">
        <f t="shared" si="3"/>
        <v>0.5476</v>
      </c>
      <c r="D46">
        <f t="shared" si="4"/>
        <v>0.719339800338651</v>
      </c>
      <c r="E46">
        <f t="shared" si="5"/>
        <v>0.517449748351251</v>
      </c>
    </row>
    <row r="47" spans="1:5">
      <c r="A47" s="1">
        <v>45</v>
      </c>
      <c r="B47" s="1">
        <v>0.72</v>
      </c>
      <c r="C47">
        <f t="shared" si="3"/>
        <v>0.5184</v>
      </c>
      <c r="D47">
        <f t="shared" si="4"/>
        <v>0.707106781186548</v>
      </c>
      <c r="E47">
        <f t="shared" si="5"/>
        <v>0.5</v>
      </c>
    </row>
    <row r="48" spans="1:5">
      <c r="A48" s="1">
        <v>46</v>
      </c>
      <c r="B48" s="1">
        <v>0.71</v>
      </c>
      <c r="C48">
        <f t="shared" si="3"/>
        <v>0.5041</v>
      </c>
      <c r="D48">
        <f t="shared" si="4"/>
        <v>0.694658370458997</v>
      </c>
      <c r="E48">
        <f t="shared" si="5"/>
        <v>0.48255025164875</v>
      </c>
    </row>
    <row r="49" spans="1:5">
      <c r="A49" s="1">
        <v>47</v>
      </c>
      <c r="B49" s="1">
        <v>0.7</v>
      </c>
      <c r="C49">
        <f t="shared" si="3"/>
        <v>0.49</v>
      </c>
      <c r="D49">
        <f t="shared" si="4"/>
        <v>0.681998360062498</v>
      </c>
      <c r="E49">
        <f t="shared" si="5"/>
        <v>0.465121763127937</v>
      </c>
    </row>
    <row r="50" spans="1:5">
      <c r="A50" s="1">
        <v>48</v>
      </c>
      <c r="B50" s="1">
        <v>0.69</v>
      </c>
      <c r="C50">
        <f t="shared" si="3"/>
        <v>0.4761</v>
      </c>
      <c r="D50">
        <f t="shared" si="4"/>
        <v>0.669130606358858</v>
      </c>
      <c r="E50">
        <f t="shared" si="5"/>
        <v>0.447735768366173</v>
      </c>
    </row>
    <row r="51" spans="1:5">
      <c r="A51" s="1">
        <v>49</v>
      </c>
      <c r="B51" s="1">
        <v>0.68</v>
      </c>
      <c r="C51">
        <f t="shared" si="3"/>
        <v>0.4624</v>
      </c>
      <c r="D51">
        <f t="shared" si="4"/>
        <v>0.656059028990507</v>
      </c>
      <c r="E51">
        <f t="shared" si="5"/>
        <v>0.430413449519967</v>
      </c>
    </row>
    <row r="52" spans="1:5">
      <c r="A52" s="1">
        <v>50</v>
      </c>
      <c r="B52" s="1">
        <v>0.67</v>
      </c>
      <c r="C52">
        <f t="shared" si="3"/>
        <v>0.4489</v>
      </c>
      <c r="D52">
        <f t="shared" si="4"/>
        <v>0.642787609686539</v>
      </c>
      <c r="E52">
        <f t="shared" si="5"/>
        <v>0.413175911166535</v>
      </c>
    </row>
    <row r="53" spans="1:5">
      <c r="A53" s="1">
        <v>51</v>
      </c>
      <c r="B53" s="1">
        <v>0.66</v>
      </c>
      <c r="C53">
        <f t="shared" si="3"/>
        <v>0.4356</v>
      </c>
      <c r="D53">
        <f t="shared" si="4"/>
        <v>0.629320391049838</v>
      </c>
      <c r="E53">
        <f t="shared" si="5"/>
        <v>0.39604415459112</v>
      </c>
    </row>
    <row r="54" spans="1:5">
      <c r="A54" s="1">
        <v>52</v>
      </c>
      <c r="B54" s="1">
        <v>0.65</v>
      </c>
      <c r="C54">
        <f t="shared" si="3"/>
        <v>0.4225</v>
      </c>
      <c r="D54">
        <f t="shared" si="4"/>
        <v>0.615661475325658</v>
      </c>
      <c r="E54">
        <f t="shared" si="5"/>
        <v>0.379039052200166</v>
      </c>
    </row>
    <row r="55" spans="1:5">
      <c r="A55" s="1">
        <v>53</v>
      </c>
      <c r="B55" s="1">
        <v>0.63</v>
      </c>
      <c r="C55">
        <f t="shared" si="3"/>
        <v>0.3969</v>
      </c>
      <c r="D55">
        <f t="shared" si="4"/>
        <v>0.601815023152048</v>
      </c>
      <c r="E55">
        <f t="shared" si="5"/>
        <v>0.362181322091501</v>
      </c>
    </row>
    <row r="56" spans="1:5">
      <c r="A56" s="1">
        <v>54</v>
      </c>
      <c r="B56" s="1">
        <v>0.62</v>
      </c>
      <c r="C56">
        <f t="shared" si="3"/>
        <v>0.3844</v>
      </c>
      <c r="D56">
        <f t="shared" si="4"/>
        <v>0.587785252292473</v>
      </c>
      <c r="E56">
        <f t="shared" si="5"/>
        <v>0.345491502812526</v>
      </c>
    </row>
    <row r="57" spans="1:5">
      <c r="A57" s="1">
        <v>55</v>
      </c>
      <c r="B57" s="1">
        <v>0.6</v>
      </c>
      <c r="C57">
        <f t="shared" si="3"/>
        <v>0.36</v>
      </c>
      <c r="D57">
        <f t="shared" si="4"/>
        <v>0.573576436351046</v>
      </c>
      <c r="E57">
        <f t="shared" si="5"/>
        <v>0.328989928337166</v>
      </c>
    </row>
    <row r="58" spans="1:5">
      <c r="A58" s="1">
        <v>56</v>
      </c>
      <c r="B58" s="1">
        <v>0.59</v>
      </c>
      <c r="C58">
        <f t="shared" si="3"/>
        <v>0.3481</v>
      </c>
      <c r="D58">
        <f t="shared" si="4"/>
        <v>0.559192903470747</v>
      </c>
      <c r="E58">
        <f t="shared" si="5"/>
        <v>0.312696703292044</v>
      </c>
    </row>
    <row r="59" spans="1:5">
      <c r="A59" s="1">
        <v>57</v>
      </c>
      <c r="B59" s="1">
        <v>0.58</v>
      </c>
      <c r="C59">
        <f t="shared" si="3"/>
        <v>0.3364</v>
      </c>
      <c r="D59">
        <f t="shared" si="4"/>
        <v>0.544639035015027</v>
      </c>
      <c r="E59">
        <f t="shared" si="5"/>
        <v>0.2966316784621</v>
      </c>
    </row>
    <row r="60" spans="1:5">
      <c r="A60" s="1">
        <v>58</v>
      </c>
      <c r="B60" s="1">
        <v>0.56</v>
      </c>
      <c r="C60">
        <f t="shared" si="3"/>
        <v>0.3136</v>
      </c>
      <c r="D60">
        <f t="shared" si="4"/>
        <v>0.529919264233205</v>
      </c>
      <c r="E60">
        <f t="shared" si="5"/>
        <v>0.280814426605461</v>
      </c>
    </row>
    <row r="61" spans="1:5">
      <c r="A61" s="1">
        <v>59</v>
      </c>
      <c r="B61" s="1">
        <v>0.55</v>
      </c>
      <c r="C61">
        <f t="shared" si="3"/>
        <v>0.3025</v>
      </c>
      <c r="D61">
        <f t="shared" si="4"/>
        <v>0.515038074910054</v>
      </c>
      <c r="E61">
        <f t="shared" si="5"/>
        <v>0.265264218607055</v>
      </c>
    </row>
    <row r="62" spans="1:5">
      <c r="A62" s="1">
        <v>60</v>
      </c>
      <c r="B62" s="1">
        <v>0.54</v>
      </c>
      <c r="C62">
        <f t="shared" si="3"/>
        <v>0.2916</v>
      </c>
      <c r="D62">
        <f t="shared" si="4"/>
        <v>0.5</v>
      </c>
      <c r="E62">
        <f t="shared" si="5"/>
        <v>0.25</v>
      </c>
    </row>
    <row r="63" spans="1:5">
      <c r="A63" s="1">
        <v>61</v>
      </c>
      <c r="B63" s="1">
        <v>0.52</v>
      </c>
      <c r="C63">
        <f t="shared" si="3"/>
        <v>0.2704</v>
      </c>
      <c r="D63">
        <f t="shared" si="4"/>
        <v>0.484809620246337</v>
      </c>
      <c r="E63">
        <f t="shared" si="5"/>
        <v>0.235040367883398</v>
      </c>
    </row>
    <row r="64" spans="1:5">
      <c r="A64" s="1">
        <v>62</v>
      </c>
      <c r="B64" s="1">
        <v>0.51</v>
      </c>
      <c r="C64">
        <f t="shared" si="3"/>
        <v>0.2601</v>
      </c>
      <c r="D64">
        <f t="shared" si="4"/>
        <v>0.469471562785891</v>
      </c>
      <c r="E64">
        <f t="shared" si="5"/>
        <v>0.220403548264627</v>
      </c>
    </row>
    <row r="65" spans="1:5">
      <c r="A65" s="1">
        <v>63</v>
      </c>
      <c r="B65" s="1">
        <v>0.49</v>
      </c>
      <c r="C65">
        <f t="shared" si="3"/>
        <v>0.2401</v>
      </c>
      <c r="D65">
        <f t="shared" si="4"/>
        <v>0.453990499739547</v>
      </c>
      <c r="E65">
        <f t="shared" si="5"/>
        <v>0.206107373853763</v>
      </c>
    </row>
    <row r="66" spans="1:5">
      <c r="A66" s="1">
        <v>64</v>
      </c>
      <c r="B66" s="1">
        <v>0.48</v>
      </c>
      <c r="C66">
        <f t="shared" si="3"/>
        <v>0.2304</v>
      </c>
      <c r="D66">
        <f t="shared" si="4"/>
        <v>0.438371146789077</v>
      </c>
      <c r="E66">
        <f t="shared" si="5"/>
        <v>0.192169262337171</v>
      </c>
    </row>
    <row r="67" spans="1:5">
      <c r="A67" s="1">
        <v>65</v>
      </c>
      <c r="B67" s="1">
        <v>0.46</v>
      </c>
      <c r="C67">
        <f t="shared" ref="C67:C92" si="6">B67*B67</f>
        <v>0.2116</v>
      </c>
      <c r="D67">
        <f t="shared" ref="D67:D92" si="7">COS(A67/180*PI())</f>
        <v>0.422618261740699</v>
      </c>
      <c r="E67">
        <f t="shared" ref="E67:E92" si="8">D67*D67</f>
        <v>0.17860619515673</v>
      </c>
    </row>
    <row r="68" spans="1:5">
      <c r="A68" s="1">
        <v>66</v>
      </c>
      <c r="B68" s="1">
        <v>0.45</v>
      </c>
      <c r="C68">
        <f t="shared" si="6"/>
        <v>0.2025</v>
      </c>
      <c r="D68">
        <f t="shared" si="7"/>
        <v>0.4067366430758</v>
      </c>
      <c r="E68">
        <f t="shared" si="8"/>
        <v>0.165434696820571</v>
      </c>
    </row>
    <row r="69" spans="1:5">
      <c r="A69" s="1">
        <v>67</v>
      </c>
      <c r="B69" s="1">
        <v>0.43</v>
      </c>
      <c r="C69">
        <f t="shared" si="6"/>
        <v>0.1849</v>
      </c>
      <c r="D69">
        <f t="shared" si="7"/>
        <v>0.390731128489274</v>
      </c>
      <c r="E69">
        <f t="shared" si="8"/>
        <v>0.152670814770501</v>
      </c>
    </row>
    <row r="70" spans="1:5">
      <c r="A70" s="1">
        <v>68</v>
      </c>
      <c r="B70" s="1">
        <v>0.42</v>
      </c>
      <c r="C70">
        <f t="shared" si="6"/>
        <v>0.1764</v>
      </c>
      <c r="D70">
        <f t="shared" si="7"/>
        <v>0.374606593415912</v>
      </c>
      <c r="E70">
        <f t="shared" si="8"/>
        <v>0.140330099830675</v>
      </c>
    </row>
    <row r="71" spans="1:5">
      <c r="A71" s="1">
        <v>69</v>
      </c>
      <c r="B71" s="1">
        <v>0.4</v>
      </c>
      <c r="C71">
        <f t="shared" si="6"/>
        <v>0.16</v>
      </c>
      <c r="D71">
        <f t="shared" si="7"/>
        <v>0.3583679495453</v>
      </c>
      <c r="E71">
        <f t="shared" si="8"/>
        <v>0.128427587261303</v>
      </c>
    </row>
    <row r="72" spans="1:5">
      <c r="A72" s="1">
        <v>70</v>
      </c>
      <c r="B72" s="1">
        <v>0.39</v>
      </c>
      <c r="C72">
        <f t="shared" si="6"/>
        <v>0.1521</v>
      </c>
      <c r="D72">
        <f t="shared" si="7"/>
        <v>0.342020143325669</v>
      </c>
      <c r="E72">
        <f t="shared" si="8"/>
        <v>0.116977778440511</v>
      </c>
    </row>
    <row r="73" spans="1:5">
      <c r="A73" s="1">
        <v>71</v>
      </c>
      <c r="B73" s="1">
        <v>0.37</v>
      </c>
      <c r="C73">
        <f t="shared" si="6"/>
        <v>0.1369</v>
      </c>
      <c r="D73">
        <f t="shared" si="7"/>
        <v>0.325568154457157</v>
      </c>
      <c r="E73">
        <f t="shared" si="8"/>
        <v>0.105994623196639</v>
      </c>
    </row>
    <row r="74" spans="1:5">
      <c r="A74" s="1">
        <v>72</v>
      </c>
      <c r="B74" s="1">
        <v>0.36</v>
      </c>
      <c r="C74">
        <f t="shared" si="6"/>
        <v>0.1296</v>
      </c>
      <c r="D74">
        <f t="shared" si="7"/>
        <v>0.309016994374947</v>
      </c>
      <c r="E74">
        <f t="shared" si="8"/>
        <v>0.0954915028125263</v>
      </c>
    </row>
    <row r="75" spans="1:5">
      <c r="A75" s="1">
        <v>73</v>
      </c>
      <c r="B75" s="1">
        <v>0.34</v>
      </c>
      <c r="C75">
        <f t="shared" si="6"/>
        <v>0.1156</v>
      </c>
      <c r="D75">
        <f t="shared" si="7"/>
        <v>0.292371704722737</v>
      </c>
      <c r="E75">
        <f t="shared" si="8"/>
        <v>0.0854812137224792</v>
      </c>
    </row>
    <row r="76" spans="1:5">
      <c r="A76" s="1">
        <v>74</v>
      </c>
      <c r="B76" s="1">
        <v>0.33</v>
      </c>
      <c r="C76">
        <f t="shared" si="6"/>
        <v>0.1089</v>
      </c>
      <c r="D76">
        <f t="shared" si="7"/>
        <v>0.275637355816999</v>
      </c>
      <c r="E76">
        <f t="shared" si="8"/>
        <v>0.075975951921787</v>
      </c>
    </row>
    <row r="77" spans="1:5">
      <c r="A77" s="1">
        <v>75</v>
      </c>
      <c r="B77" s="1">
        <v>0.31</v>
      </c>
      <c r="C77">
        <f t="shared" si="6"/>
        <v>0.0961</v>
      </c>
      <c r="D77">
        <f t="shared" si="7"/>
        <v>0.258819045102521</v>
      </c>
      <c r="E77">
        <f t="shared" si="8"/>
        <v>0.0669872981077807</v>
      </c>
    </row>
    <row r="78" spans="1:5">
      <c r="A78" s="1">
        <v>76</v>
      </c>
      <c r="B78" s="1">
        <v>0.3</v>
      </c>
      <c r="C78">
        <f t="shared" si="6"/>
        <v>0.09</v>
      </c>
      <c r="D78">
        <f t="shared" si="7"/>
        <v>0.241921895599668</v>
      </c>
      <c r="E78">
        <f t="shared" si="8"/>
        <v>0.0585262035705365</v>
      </c>
    </row>
    <row r="79" spans="1:5">
      <c r="A79" s="1">
        <v>77</v>
      </c>
      <c r="B79" s="1">
        <v>0.29</v>
      </c>
      <c r="C79">
        <f t="shared" si="6"/>
        <v>0.0841</v>
      </c>
      <c r="D79">
        <f t="shared" si="7"/>
        <v>0.224951054343865</v>
      </c>
      <c r="E79">
        <f t="shared" si="8"/>
        <v>0.0506029768504166</v>
      </c>
    </row>
    <row r="80" spans="1:5">
      <c r="A80" s="1">
        <v>78</v>
      </c>
      <c r="B80" s="1">
        <v>0.27</v>
      </c>
      <c r="C80">
        <f t="shared" si="6"/>
        <v>0.0729</v>
      </c>
      <c r="D80">
        <f t="shared" si="7"/>
        <v>0.207911690817759</v>
      </c>
      <c r="E80">
        <f t="shared" si="8"/>
        <v>0.0432272711786995</v>
      </c>
    </row>
    <row r="81" spans="1:5">
      <c r="A81" s="1">
        <v>79</v>
      </c>
      <c r="B81" s="1">
        <v>0.25</v>
      </c>
      <c r="C81">
        <f t="shared" si="6"/>
        <v>0.0625</v>
      </c>
      <c r="D81">
        <f t="shared" si="7"/>
        <v>0.190808995376545</v>
      </c>
      <c r="E81">
        <f t="shared" si="8"/>
        <v>0.0364080727166063</v>
      </c>
    </row>
    <row r="82" spans="1:5">
      <c r="A82" s="1">
        <v>80</v>
      </c>
      <c r="B82" s="1">
        <v>0.24</v>
      </c>
      <c r="C82">
        <f t="shared" si="6"/>
        <v>0.0576</v>
      </c>
      <c r="D82">
        <f t="shared" si="7"/>
        <v>0.17364817766693</v>
      </c>
      <c r="E82">
        <f t="shared" si="8"/>
        <v>0.0301536896070458</v>
      </c>
    </row>
    <row r="83" spans="1:5">
      <c r="A83" s="1">
        <v>81</v>
      </c>
      <c r="B83" s="1">
        <v>0.23</v>
      </c>
      <c r="C83">
        <f t="shared" si="6"/>
        <v>0.0529</v>
      </c>
      <c r="D83">
        <f t="shared" si="7"/>
        <v>0.156434465040231</v>
      </c>
      <c r="E83">
        <f t="shared" si="8"/>
        <v>0.0244717418524232</v>
      </c>
    </row>
    <row r="84" spans="1:5">
      <c r="A84" s="1">
        <v>82</v>
      </c>
      <c r="B84" s="1">
        <v>0.21</v>
      </c>
      <c r="C84">
        <f t="shared" si="6"/>
        <v>0.0441</v>
      </c>
      <c r="D84">
        <f t="shared" si="7"/>
        <v>0.139173100960065</v>
      </c>
      <c r="E84">
        <f t="shared" si="8"/>
        <v>0.0193691520308406</v>
      </c>
    </row>
    <row r="85" spans="1:5">
      <c r="A85" s="1">
        <v>83</v>
      </c>
      <c r="B85" s="1">
        <v>0.2</v>
      </c>
      <c r="C85">
        <f t="shared" si="6"/>
        <v>0.04</v>
      </c>
      <c r="D85">
        <f t="shared" si="7"/>
        <v>0.121869343405147</v>
      </c>
      <c r="E85">
        <f t="shared" si="8"/>
        <v>0.0148521368620018</v>
      </c>
    </row>
    <row r="86" spans="1:5">
      <c r="A86" s="1">
        <v>84</v>
      </c>
      <c r="B86" s="1">
        <v>0.18</v>
      </c>
      <c r="C86">
        <f t="shared" si="6"/>
        <v>0.0324</v>
      </c>
      <c r="D86">
        <f t="shared" si="7"/>
        <v>0.104528463267653</v>
      </c>
      <c r="E86">
        <f t="shared" si="8"/>
        <v>0.0109261996330972</v>
      </c>
    </row>
    <row r="87" spans="1:5">
      <c r="A87" s="1">
        <v>85</v>
      </c>
      <c r="B87" s="1">
        <v>0.17</v>
      </c>
      <c r="C87">
        <f t="shared" si="6"/>
        <v>0.0289</v>
      </c>
      <c r="D87">
        <f t="shared" si="7"/>
        <v>0.0871557427476584</v>
      </c>
      <c r="E87">
        <f t="shared" si="8"/>
        <v>0.007596123493896</v>
      </c>
    </row>
    <row r="88" spans="1:5">
      <c r="A88" s="1">
        <v>86</v>
      </c>
      <c r="B88" s="1">
        <v>0.16</v>
      </c>
      <c r="C88">
        <f t="shared" si="6"/>
        <v>0.0256</v>
      </c>
      <c r="D88">
        <f t="shared" si="7"/>
        <v>0.0697564737441252</v>
      </c>
      <c r="E88">
        <f t="shared" si="8"/>
        <v>0.00486596562921483</v>
      </c>
    </row>
    <row r="89" spans="1:5">
      <c r="A89" s="1">
        <v>87</v>
      </c>
      <c r="B89" s="1">
        <v>0.14</v>
      </c>
      <c r="C89">
        <f t="shared" si="6"/>
        <v>0.0196</v>
      </c>
      <c r="D89">
        <f t="shared" si="7"/>
        <v>0.052335956242944</v>
      </c>
      <c r="E89">
        <f t="shared" si="8"/>
        <v>0.00273905231586335</v>
      </c>
    </row>
    <row r="90" spans="1:5">
      <c r="A90" s="1">
        <v>88</v>
      </c>
      <c r="B90" s="1">
        <v>0.13</v>
      </c>
      <c r="C90">
        <f t="shared" si="6"/>
        <v>0.0169</v>
      </c>
      <c r="D90">
        <f t="shared" si="7"/>
        <v>0.0348994967025011</v>
      </c>
      <c r="E90">
        <f t="shared" si="8"/>
        <v>0.00121797487008788</v>
      </c>
    </row>
    <row r="91" spans="1:5">
      <c r="A91" s="1">
        <v>89</v>
      </c>
      <c r="B91" s="1">
        <v>0.12</v>
      </c>
      <c r="C91">
        <f t="shared" si="6"/>
        <v>0.0144</v>
      </c>
      <c r="D91">
        <f t="shared" si="7"/>
        <v>0.0174524064372836</v>
      </c>
      <c r="E91">
        <f t="shared" si="8"/>
        <v>0.000304586490452138</v>
      </c>
    </row>
    <row r="92" spans="1:5">
      <c r="A92" s="1">
        <v>90</v>
      </c>
      <c r="B92" s="1">
        <v>0.11</v>
      </c>
      <c r="C92">
        <f t="shared" si="6"/>
        <v>0.0121</v>
      </c>
      <c r="D92">
        <f t="shared" si="7"/>
        <v>6.12323399573677e-17</v>
      </c>
      <c r="E92">
        <f t="shared" si="8"/>
        <v>3.74939945665464e-33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距离</vt:lpstr>
      <vt:lpstr>极化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李嘉涵</dc:creator>
  <cp:lastModifiedBy>李嘉涵</cp:lastModifiedBy>
  <dcterms:created xsi:type="dcterms:W3CDTF">2023-05-12T11:15:00Z</dcterms:created>
  <dcterms:modified xsi:type="dcterms:W3CDTF">2026-06-17T13:49:29Z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32D1A2DA163646DD86C467E894F9C0E3_12</vt:lpwstr>
  </property>
</Properties>
</file>